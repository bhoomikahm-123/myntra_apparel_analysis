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Sheet2!$A$1:$R$101</definedName>
  </definedNames>
  <calcPr calcId="144525"/>
  <pivotCaches>
    <pivotCache cacheId="2" r:id="rId4"/>
    <pivotCache cacheId="16" r:id="rId5"/>
  </pivotCaches>
</workbook>
</file>

<file path=xl/calcChain.xml><?xml version="1.0" encoding="utf-8"?>
<calcChain xmlns="http://schemas.openxmlformats.org/spreadsheetml/2006/main">
  <c r="S101" i="2" l="1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Y7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2" i="2"/>
  <c r="M4" i="2"/>
  <c r="M3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2" i="2"/>
  <c r="M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V3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V7" i="2" l="1"/>
  <c r="W7" i="2"/>
  <c r="X7" i="2"/>
  <c r="Z7" i="2"/>
  <c r="V4" i="2"/>
</calcChain>
</file>

<file path=xl/sharedStrings.xml><?xml version="1.0" encoding="utf-8"?>
<sst xmlns="http://schemas.openxmlformats.org/spreadsheetml/2006/main" count="1201" uniqueCount="306">
  <si>
    <t>Product ID</t>
  </si>
  <si>
    <t>Product Name</t>
  </si>
  <si>
    <t>Brand</t>
  </si>
  <si>
    <t>Category</t>
  </si>
  <si>
    <t>MRP</t>
  </si>
  <si>
    <t>Selling Price</t>
  </si>
  <si>
    <t>Rating</t>
  </si>
  <si>
    <t>Number of Ratings</t>
  </si>
  <si>
    <t>Available Sizes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</si>
  <si>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</si>
  <si>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</si>
  <si>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</si>
  <si>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</si>
  <si>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</si>
  <si>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</si>
  <si>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</si>
  <si>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</si>
  <si>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</si>
  <si>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</si>
  <si>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</si>
  <si>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</si>
  <si>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</si>
  <si>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</si>
  <si>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</si>
  <si>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</si>
  <si>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</si>
  <si>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</si>
  <si>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</si>
  <si>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</si>
  <si>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</si>
  <si>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</si>
  <si>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</si>
  <si>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</si>
  <si>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</si>
  <si>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</si>
  <si>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</si>
  <si>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</si>
  <si>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</si>
  <si>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</si>
  <si>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</si>
  <si>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</si>
  <si>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</si>
  <si>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</si>
  <si>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</si>
  <si>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</si>
  <si>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</si>
  <si>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</si>
  <si>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</si>
  <si>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</si>
  <si>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</si>
  <si>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</si>
  <si>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</si>
  <si>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</si>
  <si>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</si>
  <si>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</si>
  <si>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</si>
  <si>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</si>
  <si>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</si>
  <si>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</si>
  <si>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</si>
  <si>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</si>
  <si>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</si>
  <si>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</si>
  <si>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</si>
  <si>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</si>
  <si>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</si>
  <si>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</si>
  <si>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</si>
  <si>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</si>
  <si>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</si>
  <si>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</si>
  <si>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</si>
  <si>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</si>
  <si>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</si>
  <si>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</si>
  <si>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</si>
  <si>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</si>
  <si>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</si>
  <si>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</si>
  <si>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</si>
  <si>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</si>
  <si>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</si>
  <si>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</si>
  <si>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</si>
  <si>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</si>
  <si>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</si>
  <si>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</si>
  <si>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</si>
  <si>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</si>
  <si>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</si>
  <si>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</si>
  <si>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</si>
  <si>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</si>
  <si>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</si>
  <si>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</si>
  <si>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</si>
  <si>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</si>
  <si>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</si>
  <si>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</si>
  <si>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</si>
  <si>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</si>
  <si>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</si>
  <si>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</si>
  <si>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</si>
  <si>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</si>
  <si>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</si>
  <si>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</si>
  <si>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</si>
  <si>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</si>
  <si>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Adidas T-Shirt 380</t>
  </si>
  <si>
    <t>Adidas Shirt 217</t>
  </si>
  <si>
    <t>H&amp;M Kurta 333</t>
  </si>
  <si>
    <t>UCB Shoes 143</t>
  </si>
  <si>
    <t>UCB T-Shirt 184</t>
  </si>
  <si>
    <t>Zara Kurta 317</t>
  </si>
  <si>
    <t>Zara T-Shirt 438</t>
  </si>
  <si>
    <t>H&amp;M Kurta 137</t>
  </si>
  <si>
    <t>UCB Shoes 474</t>
  </si>
  <si>
    <t>Nike Shoes 206</t>
  </si>
  <si>
    <t>Roadster Jeans 136</t>
  </si>
  <si>
    <t>UCB Shoes 113</t>
  </si>
  <si>
    <t>Puma Kurta 82</t>
  </si>
  <si>
    <t>Adidas Kurta 454</t>
  </si>
  <si>
    <t>UCB Jeans 233</t>
  </si>
  <si>
    <t>Zara Kurta 260</t>
  </si>
  <si>
    <t>Levi's Jacket 10</t>
  </si>
  <si>
    <t>Adidas T-Shirt 375</t>
  </si>
  <si>
    <t>Puma Shoes 271</t>
  </si>
  <si>
    <t>Levi's Jacket 461</t>
  </si>
  <si>
    <t>Nike Shirt 284</t>
  </si>
  <si>
    <t>Adidas T-Shirt 441</t>
  </si>
  <si>
    <t>H&amp;M Jacket 414</t>
  </si>
  <si>
    <t>Nike Kurta 335</t>
  </si>
  <si>
    <t>H&amp;M Jeans 275</t>
  </si>
  <si>
    <t>Nike Kurta 277</t>
  </si>
  <si>
    <t>Roadster Jacket 110</t>
  </si>
  <si>
    <t>Roadster Jeans 98</t>
  </si>
  <si>
    <t>Nike T-Shirt 300</t>
  </si>
  <si>
    <t>Puma T-Shirt 305</t>
  </si>
  <si>
    <t>H&amp;M Shirt 305</t>
  </si>
  <si>
    <t>Levi's Jeans 136</t>
  </si>
  <si>
    <t>Adidas T-Shirt 276</t>
  </si>
  <si>
    <t>Zara Jeans 225</t>
  </si>
  <si>
    <t>Zara Kurta 54</t>
  </si>
  <si>
    <t>H&amp;M Kurta 176</t>
  </si>
  <si>
    <t>UCB Shoes 23</t>
  </si>
  <si>
    <t>UCB Shirt 5</t>
  </si>
  <si>
    <t>Levi's Shirt 283</t>
  </si>
  <si>
    <t>H&amp;M Kurta 53</t>
  </si>
  <si>
    <t>Puma Jacket 13</t>
  </si>
  <si>
    <t>UCB T-Shirt 440</t>
  </si>
  <si>
    <t>Nike Kurta 99</t>
  </si>
  <si>
    <t>Levi's T-Shirt 60</t>
  </si>
  <si>
    <t>UCB Shoes 374</t>
  </si>
  <si>
    <t>H&amp;M Shoes 23</t>
  </si>
  <si>
    <t>Adidas Kurta 472</t>
  </si>
  <si>
    <t>Zara Kurta 210</t>
  </si>
  <si>
    <t>UCB Kurta 384</t>
  </si>
  <si>
    <t>Zara Jeans 221</t>
  </si>
  <si>
    <t>Puma Kurta 44</t>
  </si>
  <si>
    <t>Zara Jeans 413</t>
  </si>
  <si>
    <t>H&amp;M Kurta 357</t>
  </si>
  <si>
    <t>UCB Jeans 91</t>
  </si>
  <si>
    <t>Puma Jacket 342</t>
  </si>
  <si>
    <t>Puma Kurta 442</t>
  </si>
  <si>
    <t>H&amp;M Shoes 226</t>
  </si>
  <si>
    <t>Puma Jeans 197</t>
  </si>
  <si>
    <t>H&amp;M Jacket 200</t>
  </si>
  <si>
    <t>H&amp;M Jacket 113</t>
  </si>
  <si>
    <t>Puma Shirt 274</t>
  </si>
  <si>
    <t>UCB Jeans 444</t>
  </si>
  <si>
    <t>Levi's Jacket 143</t>
  </si>
  <si>
    <t>Nike Shoes 115</t>
  </si>
  <si>
    <t>H&amp;M T-Shirt 319</t>
  </si>
  <si>
    <t>H&amp;M Jacket 359</t>
  </si>
  <si>
    <t>Zara T-Shirt 297</t>
  </si>
  <si>
    <t>Adidas Kurta 396</t>
  </si>
  <si>
    <t>UCB Kurta 190</t>
  </si>
  <si>
    <t>Roadster Kurta 79</t>
  </si>
  <si>
    <t>UCB Kurta 304</t>
  </si>
  <si>
    <t>Roadster Jeans 385</t>
  </si>
  <si>
    <t>Levi's Shoes 175</t>
  </si>
  <si>
    <t>H&amp;M T-Shirt 124</t>
  </si>
  <si>
    <t>Zara Jeans 208</t>
  </si>
  <si>
    <t>Levi's Kurta 233</t>
  </si>
  <si>
    <t>Puma Jeans 111</t>
  </si>
  <si>
    <t>H&amp;M Shoes 92</t>
  </si>
  <si>
    <t>Zara Kurta 484</t>
  </si>
  <si>
    <t>Zara Jacket 246</t>
  </si>
  <si>
    <t>UCB Jacket 38</t>
  </si>
  <si>
    <t>UCB Shirt 306</t>
  </si>
  <si>
    <t>Adidas Jeans 321</t>
  </si>
  <si>
    <t>Puma T-Shirt 210</t>
  </si>
  <si>
    <t>Zara Kurta 145</t>
  </si>
  <si>
    <t>Adidas Shirt 116</t>
  </si>
  <si>
    <t>Zara Shirt 384</t>
  </si>
  <si>
    <t>Roadster Jacket 42</t>
  </si>
  <si>
    <t>Nike Kurta 421</t>
  </si>
  <si>
    <t>Zara Jeans 300</t>
  </si>
  <si>
    <t>Adidas Jeans 169</t>
  </si>
  <si>
    <t>Levi's Shoes 166</t>
  </si>
  <si>
    <t>Roadster Jacket 28</t>
  </si>
  <si>
    <t>Puma Shoes 225</t>
  </si>
  <si>
    <t>Nike Shirt 209</t>
  </si>
  <si>
    <t>Adidas Kurta 427</t>
  </si>
  <si>
    <t>H&amp;M Jacket 283</t>
  </si>
  <si>
    <t>UCB Shoes 479</t>
  </si>
  <si>
    <t>Roadster Shirt 248</t>
  </si>
  <si>
    <t>UCB Jeans 439</t>
  </si>
  <si>
    <t>Adidas</t>
  </si>
  <si>
    <t>H&amp;M</t>
  </si>
  <si>
    <t>UCB</t>
  </si>
  <si>
    <t>Zara</t>
  </si>
  <si>
    <t>Nike</t>
  </si>
  <si>
    <t>Roadster</t>
  </si>
  <si>
    <t>Puma</t>
  </si>
  <si>
    <t>Levi's</t>
  </si>
  <si>
    <t>T-Shirt</t>
  </si>
  <si>
    <t>Shirt</t>
  </si>
  <si>
    <t>Kurta</t>
  </si>
  <si>
    <t>Shoes</t>
  </si>
  <si>
    <t>Jeans</t>
  </si>
  <si>
    <t>Jacket</t>
  </si>
  <si>
    <t>XXL</t>
  </si>
  <si>
    <t>S, M, L</t>
  </si>
  <si>
    <t>S</t>
  </si>
  <si>
    <t>XXL, S, M, XL</t>
  </si>
  <si>
    <t>M</t>
  </si>
  <si>
    <t>M, L, XXL</t>
  </si>
  <si>
    <t>M, XL</t>
  </si>
  <si>
    <t>M, XL, XXL</t>
  </si>
  <si>
    <t>XXL, XL, L</t>
  </si>
  <si>
    <t>XXL, L, XL, S</t>
  </si>
  <si>
    <t>L</t>
  </si>
  <si>
    <t>XXL, S</t>
  </si>
  <si>
    <t>M, S, XL</t>
  </si>
  <si>
    <t>L, XL</t>
  </si>
  <si>
    <t>M, XXL, L, XL</t>
  </si>
  <si>
    <t>L, XL, M, XXL</t>
  </si>
  <si>
    <t>M, S, XXL, XL</t>
  </si>
  <si>
    <t>S, XXL</t>
  </si>
  <si>
    <t>L, M, XXL</t>
  </si>
  <si>
    <t>L, S, XL, M</t>
  </si>
  <si>
    <t>S, M, XL</t>
  </si>
  <si>
    <t>L, XXL</t>
  </si>
  <si>
    <t>M, XL, L</t>
  </si>
  <si>
    <t>S, L, XXL</t>
  </si>
  <si>
    <t>XXL, M, S, L</t>
  </si>
  <si>
    <t>M, L, S, XL</t>
  </si>
  <si>
    <t>L, XXL, S, XL</t>
  </si>
  <si>
    <t>L, XL, XXL</t>
  </si>
  <si>
    <t>XL</t>
  </si>
  <si>
    <t>XXL, XL</t>
  </si>
  <si>
    <t>XXL, S, M, L</t>
  </si>
  <si>
    <t>XXL, XL, L, M</t>
  </si>
  <si>
    <t>XXL, S, XL</t>
  </si>
  <si>
    <t>L, XL, M, S</t>
  </si>
  <si>
    <t>L, XL, M</t>
  </si>
  <si>
    <t>XL, M, XXL</t>
  </si>
  <si>
    <t>XL, M, S, L</t>
  </si>
  <si>
    <t>XL, S, M, L</t>
  </si>
  <si>
    <t>XXL, XL, M</t>
  </si>
  <si>
    <t>M, XL, S</t>
  </si>
  <si>
    <t>XL, XXL, S, L</t>
  </si>
  <si>
    <t>XXL, L, M, XL</t>
  </si>
  <si>
    <t>L, S</t>
  </si>
  <si>
    <t>S, XXL, L</t>
  </si>
  <si>
    <t>XL, S, XXL</t>
  </si>
  <si>
    <t>S, M, XXL</t>
  </si>
  <si>
    <t>M, S</t>
  </si>
  <si>
    <t>XXL, M, XL</t>
  </si>
  <si>
    <t>XL, L, XXL</t>
  </si>
  <si>
    <t>S, XXL, XL</t>
  </si>
  <si>
    <t>XL, XXL</t>
  </si>
  <si>
    <t>XL, S, XXL, M</t>
  </si>
  <si>
    <t>M, L</t>
  </si>
  <si>
    <t>XL, XXL, M</t>
  </si>
  <si>
    <t>S, L</t>
  </si>
  <si>
    <t>XXL, XL, S</t>
  </si>
  <si>
    <t>XL, L, S, XXL</t>
  </si>
  <si>
    <t>XL, M, XXL, S</t>
  </si>
  <si>
    <t>Discount%</t>
  </si>
  <si>
    <t>Average MRP</t>
  </si>
  <si>
    <t>Average Discount</t>
  </si>
  <si>
    <t>Row Labels</t>
  </si>
  <si>
    <t>Average of Rating</t>
  </si>
  <si>
    <t xml:space="preserve"> XL</t>
  </si>
  <si>
    <t xml:space="preserve"> S</t>
  </si>
  <si>
    <t xml:space="preserve"> XXL</t>
  </si>
  <si>
    <t xml:space="preserve"> L</t>
  </si>
  <si>
    <t xml:space="preserve"> M</t>
  </si>
  <si>
    <t>Has S</t>
  </si>
  <si>
    <t>Has M</t>
  </si>
  <si>
    <t>Has L</t>
  </si>
  <si>
    <t>Has XL</t>
  </si>
  <si>
    <t>Has XXL</t>
  </si>
  <si>
    <t>XS</t>
  </si>
  <si>
    <t>Sum :</t>
  </si>
  <si>
    <t>Average of Discount%</t>
  </si>
  <si>
    <t>Price Range</t>
  </si>
  <si>
    <t>Size</t>
  </si>
  <si>
    <t>&lt;500</t>
  </si>
  <si>
    <t>1000-1499</t>
  </si>
  <si>
    <t>1500+</t>
  </si>
  <si>
    <t>500-999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</si>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</sst>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Sheet2!$V$6:$Z$6</c:f>
              <c:strCache>
                <c:ptCount val="5"/>
                <c:pt idx="0">
                  <c:v>S</c:v>
                </c:pt>
                <c:pt idx="1">
                  <c:v>M</c:v>
                </c:pt>
                <c:pt idx="2">
                  <c:v>L</c:v>
                </c:pt>
                <c:pt idx="3">
                  <c:v>XL</c:v>
                </c:pt>
                <c:pt idx="4">
                  <c:v>XXL</c:v>
                </c:pt>
              </c:strCache>
            </c:strRef>
          </c:cat>
          <c:val>
            <c:numRef>
              <c:f>Sheet2!$V$7:$Z$7</c:f>
              <c:numCache>
                <c:formatCode>General</c:formatCode>
                <c:ptCount val="5"/>
                <c:pt idx="0">
                  <c:v>42</c:v>
                </c:pt>
                <c:pt idx="1">
                  <c:v>19</c:v>
                </c:pt>
                <c:pt idx="2">
                  <c:v>12</c:v>
                </c:pt>
                <c:pt idx="3">
                  <c:v>50</c:v>
                </c:pt>
                <c:pt idx="4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[myntra_apparel_sample.xlsx]Sheet2!PivotTable4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Categories with Max Discounts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Sheet2!$W$36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Sheet2!$V$37:$V$42</c:f>
              <c:strCache>
                <c:ptCount val="6"/>
                <c:pt idx="0">
                  <c:v>Jacket</c:v>
                </c:pt>
                <c:pt idx="1">
                  <c:v>Jeans</c:v>
                </c:pt>
                <c:pt idx="2">
                  <c:v>Kurta</c:v>
                </c:pt>
                <c:pt idx="3">
                  <c:v>Shirt</c:v>
                </c:pt>
                <c:pt idx="4">
                  <c:v>Shoes</c:v>
                </c:pt>
                <c:pt idx="5">
                  <c:v>T-Shirt</c:v>
                </c:pt>
              </c:strCache>
            </c:strRef>
          </c:cat>
          <c:val>
            <c:numRef>
              <c:f>Sheet2!$W$37:$W$42</c:f>
              <c:numCache>
                <c:formatCode>General</c:formatCode>
                <c:ptCount val="6"/>
                <c:pt idx="0">
                  <c:v>27.383372545019025</c:v>
                </c:pt>
                <c:pt idx="1">
                  <c:v>25.533681648648226</c:v>
                </c:pt>
                <c:pt idx="2">
                  <c:v>29.434520927524719</c:v>
                </c:pt>
                <c:pt idx="3">
                  <c:v>26.37693604243832</c:v>
                </c:pt>
                <c:pt idx="4">
                  <c:v>23.144727461887882</c:v>
                </c:pt>
                <c:pt idx="5">
                  <c:v>25.922024072209076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8778112"/>
        <c:axId val="270045184"/>
      </c:barChart>
      <c:catAx>
        <c:axId val="268778112"/>
        <c:scaling>
          <c:orientation val="minMax"/>
        </c:scaling>
        <c:delete val="0"/>
        <c:axPos val="l"/>
        <c:majorTickMark val="out"/>
        <c:minorTickMark val="none"/>
        <c:tickLblPos val="nextTo"/>
        <c:crossAx val="270045184"/>
        <c:crosses val="autoZero"/>
        <c:auto val="1"/>
        <c:lblAlgn val="ctr"/>
        <c:lblOffset val="100"/>
        <c:noMultiLvlLbl val="0"/>
      </c:catAx>
      <c:valAx>
        <c:axId val="2700451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68778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[myntra_apparel_sample.xlsx]Sheet2!PivotTable6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 Rating By Price Range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Sheet2!$V$52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Sheet2!$U$53:$U$57</c:f>
              <c:strCache>
                <c:ptCount val="5"/>
                <c:pt idx="0">
                  <c:v>&lt;500</c:v>
                </c:pt>
                <c:pt idx="1">
                  <c:v>1000-1499</c:v>
                </c:pt>
                <c:pt idx="2">
                  <c:v>1500+</c:v>
                </c:pt>
                <c:pt idx="3">
                  <c:v>500-999</c:v>
                </c:pt>
                <c:pt idx="4">
                  <c:v>(blank)</c:v>
                </c:pt>
              </c:strCache>
            </c:strRef>
          </c:cat>
          <c:val>
            <c:numRef>
              <c:f>Sheet2!$V$53:$V$57</c:f>
              <c:numCache>
                <c:formatCode>General</c:formatCode>
                <c:ptCount val="5"/>
                <c:pt idx="0">
                  <c:v>3.9</c:v>
                </c:pt>
                <c:pt idx="1">
                  <c:v>3.6687499999999993</c:v>
                </c:pt>
                <c:pt idx="2">
                  <c:v>3.7079365079365076</c:v>
                </c:pt>
                <c:pt idx="3">
                  <c:v>4.1071428571428568</c:v>
                </c:pt>
                <c:pt idx="4">
                  <c:v>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809472"/>
        <c:axId val="305092864"/>
      </c:lineChart>
      <c:catAx>
        <c:axId val="304809472"/>
        <c:scaling>
          <c:orientation val="minMax"/>
        </c:scaling>
        <c:delete val="0"/>
        <c:axPos val="b"/>
        <c:majorTickMark val="out"/>
        <c:minorTickMark val="none"/>
        <c:tickLblPos val="nextTo"/>
        <c:crossAx val="305092864"/>
        <c:crosses val="autoZero"/>
        <c:auto val="1"/>
        <c:lblAlgn val="ctr"/>
        <c:lblOffset val="100"/>
        <c:noMultiLvlLbl val="0"/>
      </c:catAx>
      <c:valAx>
        <c:axId val="305092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4809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Categories with Max Dicount </a:t>
            </a:r>
          </a:p>
        </c:rich>
      </c:tx>
      <c:layout>
        <c:manualLayout>
          <c:xMode val="edge"/>
          <c:yMode val="edge"/>
          <c:x val="0.11010600938978565"/>
          <c:y val="5.6258790436005623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invertIfNegative val="0"/>
          <c:cat>
            <c:strLit>
              <c:ptCount val="6"/>
              <c:pt idx="0">
                <c:v>Shoes</c:v>
              </c:pt>
              <c:pt idx="1">
                <c:v>Jeans</c:v>
              </c:pt>
              <c:pt idx="2">
                <c:v>T-Shirt</c:v>
              </c:pt>
              <c:pt idx="3">
                <c:v>Shirt</c:v>
              </c:pt>
              <c:pt idx="4">
                <c:v>Jacket</c:v>
              </c:pt>
              <c:pt idx="5">
                <c:v>Kurta</c:v>
              </c:pt>
            </c:strLit>
          </c:cat>
          <c:val>
            <c:numLit>
              <c:formatCode>General</c:formatCode>
              <c:ptCount val="6"/>
              <c:pt idx="0">
                <c:v>23.144727461887882</c:v>
              </c:pt>
              <c:pt idx="1">
                <c:v>25.533681648648226</c:v>
              </c:pt>
              <c:pt idx="2">
                <c:v>25.922024072209076</c:v>
              </c:pt>
              <c:pt idx="3">
                <c:v>26.37693604243832</c:v>
              </c:pt>
              <c:pt idx="4">
                <c:v>27.383372545019025</c:v>
              </c:pt>
              <c:pt idx="5">
                <c:v>29.434520927524719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715648"/>
        <c:axId val="194717184"/>
      </c:barChart>
      <c:catAx>
        <c:axId val="194715648"/>
        <c:scaling>
          <c:orientation val="minMax"/>
        </c:scaling>
        <c:delete val="0"/>
        <c:axPos val="l"/>
        <c:majorTickMark val="out"/>
        <c:minorTickMark val="none"/>
        <c:tickLblPos val="nextTo"/>
        <c:crossAx val="194717184"/>
        <c:crosses val="autoZero"/>
        <c:auto val="1"/>
        <c:lblAlgn val="ctr"/>
        <c:lblOffset val="100"/>
        <c:noMultiLvlLbl val="0"/>
      </c:catAx>
      <c:valAx>
        <c:axId val="1947171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4715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1104899</xdr:colOff>
      <xdr:row>7</xdr:row>
      <xdr:rowOff>76200</xdr:rowOff>
    </xdr:from>
    <xdr:to>
      <xdr:col>26</xdr:col>
      <xdr:colOff>28574</xdr:colOff>
      <xdr:row>19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266700</xdr:colOff>
      <xdr:row>30</xdr:row>
      <xdr:rowOff>104775</xdr:rowOff>
    </xdr:from>
    <xdr:to>
      <xdr:col>30</xdr:col>
      <xdr:colOff>571500</xdr:colOff>
      <xdr:row>45</xdr:row>
      <xdr:rowOff>180975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285750</xdr:colOff>
      <xdr:row>48</xdr:row>
      <xdr:rowOff>38100</xdr:rowOff>
    </xdr:from>
    <xdr:to>
      <xdr:col>28</xdr:col>
      <xdr:colOff>438150</xdr:colOff>
      <xdr:row>62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2</xdr:row>
      <xdr:rowOff>19050</xdr:rowOff>
    </xdr:from>
    <xdr:to>
      <xdr:col>11</xdr:col>
      <xdr:colOff>266700</xdr:colOff>
      <xdr:row>13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778.552637499997" createdVersion="4" refreshedVersion="4" minRefreshableVersion="3" recordCount="100">
  <cacheSource type="worksheet">
    <worksheetSource ref="A1:R101" sheet="Sheet2"/>
  </cacheSource>
  <cacheFields count="10">
    <cacheField name="Product ID" numFmtId="0">
      <sharedItems/>
    </cacheField>
    <cacheField name="Product Name" numFmtId="0">
      <sharedItems/>
    </cacheField>
    <cacheField name="Brand" numFmtId="0">
      <sharedItems/>
    </cacheField>
    <cacheField name="Category" numFmtId="0">
      <sharedItems count="6">
        <s v="Shirt"/>
        <s v="Shoes"/>
        <s v="T-Shirt"/>
        <s v="Jeans"/>
        <s v="Kurta"/>
        <s v="Jacket"/>
      </sharedItems>
    </cacheField>
    <cacheField name="MRP" numFmtId="2">
      <sharedItems containsSemiMixedTypes="0" containsString="0" containsNumber="1" containsInteger="1" minValue="526" maxValue="4964"/>
    </cacheField>
    <cacheField name="Selling Price" numFmtId="2">
      <sharedItems containsSemiMixedTypes="0" containsString="0" containsNumber="1" containsInteger="1" minValue="292" maxValue="4148"/>
    </cacheField>
    <cacheField name="Rating" numFmtId="0">
      <sharedItems containsSemiMixedTypes="0" containsString="0" containsNumber="1" minValue="2.5" maxValue="5"/>
    </cacheField>
    <cacheField name="Number of Ratings" numFmtId="0">
      <sharedItems containsSemiMixedTypes="0" containsString="0" containsNumber="1" containsInteger="1" minValue="12" maxValue="998"/>
    </cacheField>
    <cacheField name="Available Sizes" numFmtId="0">
      <sharedItems/>
    </cacheField>
    <cacheField name="Discount%" numFmtId="2">
      <sharedItems containsSemiMixedTypes="0" containsString="0" containsNumber="1" minValue="1.3015717092337917" maxValue="48.855218855218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5778.624384490744" createdVersion="4" refreshedVersion="4" minRefreshableVersion="3" recordCount="100">
  <cacheSource type="worksheet">
    <worksheetSource ref="A1:S101" sheet="Sheet2"/>
  </cacheSource>
  <cacheFields count="19">
    <cacheField name="Product ID" numFmtId="0">
      <sharedItems/>
    </cacheField>
    <cacheField name="Product Name" numFmtId="0">
      <sharedItems/>
    </cacheField>
    <cacheField name="Brand" numFmtId="0">
      <sharedItems/>
    </cacheField>
    <cacheField name="Category" numFmtId="0">
      <sharedItems count="6">
        <s v="Shirt"/>
        <s v="Shoes"/>
        <s v="T-Shirt"/>
        <s v="Jeans"/>
        <s v="Kurta"/>
        <s v="Jacket"/>
      </sharedItems>
    </cacheField>
    <cacheField name="MRP" numFmtId="2">
      <sharedItems containsSemiMixedTypes="0" containsString="0" containsNumber="1" containsInteger="1" minValue="526" maxValue="4964"/>
    </cacheField>
    <cacheField name="Selling Price" numFmtId="2">
      <sharedItems containsSemiMixedTypes="0" containsString="0" containsNumber="1" containsInteger="1" minValue="292" maxValue="4148"/>
    </cacheField>
    <cacheField name="Rating" numFmtId="0">
      <sharedItems containsSemiMixedTypes="0" containsString="0" containsNumber="1" minValue="2.5" maxValue="5"/>
    </cacheField>
    <cacheField name="Number of Ratings" numFmtId="0">
      <sharedItems containsSemiMixedTypes="0" containsString="0" containsNumber="1" containsInteger="1" minValue="12" maxValue="998"/>
    </cacheField>
    <cacheField name="Available Sizes" numFmtId="0">
      <sharedItems/>
    </cacheField>
    <cacheField name="Size" numFmtId="0">
      <sharedItems containsBlank="1"/>
    </cacheField>
    <cacheField name="Size2" numFmtId="0">
      <sharedItems containsBlank="1"/>
    </cacheField>
    <cacheField name="Size3" numFmtId="0">
      <sharedItems containsBlank="1"/>
    </cacheField>
    <cacheField name="Has S" numFmtId="0">
      <sharedItems containsString="0" containsBlank="1" containsNumber="1" containsInteger="1" minValue="0" maxValue="1"/>
    </cacheField>
    <cacheField name="Has M" numFmtId="0">
      <sharedItems containsString="0" containsBlank="1" containsNumber="1" containsInteger="1" minValue="0" maxValue="1"/>
    </cacheField>
    <cacheField name="Has L" numFmtId="0">
      <sharedItems containsString="0" containsBlank="1" containsNumber="1" containsInteger="1" minValue="0" maxValue="1"/>
    </cacheField>
    <cacheField name="Has XL" numFmtId="0">
      <sharedItems containsString="0" containsBlank="1" containsNumber="1" containsInteger="1" minValue="0" maxValue="1"/>
    </cacheField>
    <cacheField name="Has XXL" numFmtId="0">
      <sharedItems containsString="0" containsBlank="1" containsNumber="1" containsInteger="1" minValue="0" maxValue="1"/>
    </cacheField>
    <cacheField name="Discount%" numFmtId="2">
      <sharedItems containsSemiMixedTypes="0" containsString="0" containsNumber="1" minValue="1.3015717092337917" maxValue="48.855218855218858"/>
    </cacheField>
    <cacheField name="Price Range" numFmtId="0">
      <sharedItems containsBlank="1" count="5">
        <s v="500-999"/>
        <s v="1500+"/>
        <s v="1000-1499"/>
        <s v="&lt;5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P1094"/>
    <s v="Nike Shirt 209"/>
    <s v="Nike"/>
    <x v="0"/>
    <n v="1263"/>
    <n v="983"/>
    <n v="5"/>
    <n v="944"/>
    <s v="XL"/>
    <n v="22.169437846397464"/>
  </r>
  <r>
    <s v="P1003"/>
    <s v="UCB Shoes 143"/>
    <s v="UCB"/>
    <x v="1"/>
    <n v="1773"/>
    <n v="1503"/>
    <n v="4.9000000000000004"/>
    <n v="354"/>
    <s v="S"/>
    <n v="15.228426395939088"/>
  </r>
  <r>
    <s v="P1017"/>
    <s v="Adidas T-Shirt 375"/>
    <s v="Adidas"/>
    <x v="2"/>
    <n v="4481"/>
    <n v="4148"/>
    <n v="4.9000000000000004"/>
    <n v="555"/>
    <s v="M, XL"/>
    <n v="7.4313769247935726"/>
  </r>
  <r>
    <s v="P1027"/>
    <s v="Roadster Jeans 98"/>
    <s v="Roadster"/>
    <x v="3"/>
    <n v="2930"/>
    <n v="2435"/>
    <n v="4.9000000000000004"/>
    <n v="603"/>
    <s v="L"/>
    <n v="16.89419795221843"/>
  </r>
  <r>
    <s v="P1037"/>
    <s v="UCB Shirt 5"/>
    <s v="UCB"/>
    <x v="0"/>
    <n v="1416"/>
    <n v="1289"/>
    <n v="4.9000000000000004"/>
    <n v="717"/>
    <s v="XXL, S"/>
    <n v="8.9689265536723166"/>
  </r>
  <r>
    <s v="P1063"/>
    <s v="Nike Shoes 115"/>
    <s v="Nike"/>
    <x v="1"/>
    <n v="1062"/>
    <n v="613"/>
    <n v="4.9000000000000004"/>
    <n v="51"/>
    <s v="M"/>
    <n v="42.278719397363467"/>
  </r>
  <r>
    <s v="P1018"/>
    <s v="Puma Shoes 271"/>
    <s v="Puma"/>
    <x v="1"/>
    <n v="3966"/>
    <n v="3483"/>
    <n v="4.8"/>
    <n v="783"/>
    <s v="L, XL"/>
    <n v="12.178517397881997"/>
  </r>
  <r>
    <s v="P1025"/>
    <s v="Nike Kurta 277"/>
    <s v="Nike"/>
    <x v="4"/>
    <n v="620"/>
    <n v="523"/>
    <n v="4.8"/>
    <n v="879"/>
    <s v="M, XL"/>
    <n v="15.645161290322582"/>
  </r>
  <r>
    <s v="P1028"/>
    <s v="Nike T-Shirt 300"/>
    <s v="Nike"/>
    <x v="2"/>
    <n v="4405"/>
    <n v="2296"/>
    <n v="4.8"/>
    <n v="553"/>
    <s v="S, XXL"/>
    <n v="47.877412031782072"/>
  </r>
  <r>
    <s v="P1040"/>
    <s v="Puma Jacket 13"/>
    <s v="Puma"/>
    <x v="5"/>
    <n v="1969"/>
    <n v="1165"/>
    <n v="4.8"/>
    <n v="811"/>
    <s v="M, L, S, XL"/>
    <n v="40.832910106653124"/>
  </r>
  <r>
    <s v="P1095"/>
    <s v="Adidas Kurta 427"/>
    <s v="Adidas"/>
    <x v="4"/>
    <n v="1761"/>
    <n v="1201"/>
    <n v="4.8"/>
    <n v="308"/>
    <s v="XL, XXL, M"/>
    <n v="31.800113571834189"/>
  </r>
  <r>
    <s v="P1014"/>
    <s v="UCB Jeans 233"/>
    <s v="UCB"/>
    <x v="3"/>
    <n v="526"/>
    <n v="292"/>
    <n v="4.7"/>
    <n v="279"/>
    <s v="XXL, S"/>
    <n v="44.486692015209123"/>
  </r>
  <r>
    <s v="P1016"/>
    <s v="Levi's Jacket 10"/>
    <s v="Levi's"/>
    <x v="5"/>
    <n v="1416"/>
    <n v="995"/>
    <n v="4.7"/>
    <n v="861"/>
    <s v="M, S, XL"/>
    <n v="29.731638418079097"/>
  </r>
  <r>
    <s v="P1029"/>
    <s v="Puma T-Shirt 305"/>
    <s v="Puma"/>
    <x v="2"/>
    <n v="1056"/>
    <n v="661"/>
    <n v="4.7"/>
    <n v="423"/>
    <s v="XXL"/>
    <n v="37.405303030303031"/>
  </r>
  <r>
    <s v="P1078"/>
    <s v="Zara Kurta 484"/>
    <s v="Zara"/>
    <x v="4"/>
    <n v="1534"/>
    <n v="831"/>
    <n v="4.7"/>
    <n v="512"/>
    <s v="S"/>
    <n v="45.827900912646676"/>
  </r>
  <r>
    <s v="P1091"/>
    <s v="Levi's Shoes 166"/>
    <s v="Levi's"/>
    <x v="1"/>
    <n v="1449"/>
    <n v="986"/>
    <n v="4.7"/>
    <n v="854"/>
    <s v="XXL"/>
    <n v="31.953071083505868"/>
  </r>
  <r>
    <s v="P1008"/>
    <s v="UCB Shoes 474"/>
    <s v="UCB"/>
    <x v="1"/>
    <n v="2299"/>
    <n v="1585"/>
    <n v="4.5999999999999996"/>
    <n v="804"/>
    <s v="M"/>
    <n v="31.056981296215746"/>
  </r>
  <r>
    <s v="P1062"/>
    <s v="Levi's Jacket 143"/>
    <s v="Levi's"/>
    <x v="5"/>
    <n v="3953"/>
    <n v="3387"/>
    <n v="4.5999999999999996"/>
    <n v="491"/>
    <s v="XXL"/>
    <n v="14.318239311915001"/>
  </r>
  <r>
    <s v="P1070"/>
    <s v="UCB Kurta 304"/>
    <s v="UCB"/>
    <x v="4"/>
    <n v="2698"/>
    <n v="1988"/>
    <n v="4.5999999999999996"/>
    <n v="860"/>
    <s v="L"/>
    <n v="26.315789473684209"/>
  </r>
  <r>
    <s v="P1085"/>
    <s v="Adidas Shirt 116"/>
    <s v="Adidas"/>
    <x v="0"/>
    <n v="1720"/>
    <n v="1398"/>
    <n v="4.5999999999999996"/>
    <n v="83"/>
    <s v="M"/>
    <n v="18.720930232558139"/>
  </r>
  <r>
    <s v="P1097"/>
    <s v="UCB Shoes 479"/>
    <s v="UCB"/>
    <x v="1"/>
    <n v="4659"/>
    <n v="3515"/>
    <n v="4.5999999999999996"/>
    <n v="299"/>
    <s v="XXL, XL, S"/>
    <n v="24.554625456106461"/>
  </r>
  <r>
    <s v="P1089"/>
    <s v="Zara Jeans 300"/>
    <s v="Zara"/>
    <x v="3"/>
    <n v="4070"/>
    <n v="2720"/>
    <n v="4.5"/>
    <n v="103"/>
    <s v="L, XL, M, XXL"/>
    <n v="33.169533169533175"/>
  </r>
  <r>
    <s v="P1010"/>
    <s v="Roadster Jeans 136"/>
    <s v="Roadster"/>
    <x v="3"/>
    <n v="1643"/>
    <n v="1341"/>
    <n v="4.4000000000000004"/>
    <n v="561"/>
    <s v="XXL, XL, L"/>
    <n v="18.381010346926356"/>
  </r>
  <r>
    <s v="P1013"/>
    <s v="Adidas Kurta 454"/>
    <s v="Adidas"/>
    <x v="4"/>
    <n v="4898"/>
    <n v="3756"/>
    <n v="4.4000000000000004"/>
    <n v="358"/>
    <s v="L"/>
    <n v="23.315639036341366"/>
  </r>
  <r>
    <s v="P1036"/>
    <s v="UCB Shoes 23"/>
    <s v="UCB"/>
    <x v="1"/>
    <n v="529"/>
    <n v="394"/>
    <n v="4.4000000000000004"/>
    <n v="662"/>
    <s v="M, XL, L"/>
    <n v="25.519848771266538"/>
  </r>
  <r>
    <s v="P1069"/>
    <s v="Roadster Kurta 79"/>
    <s v="Roadster"/>
    <x v="4"/>
    <n v="4067"/>
    <n v="3657"/>
    <n v="4.3"/>
    <n v="998"/>
    <s v="XXL, XL, M"/>
    <n v="10.081140890090975"/>
  </r>
  <r>
    <s v="P1072"/>
    <s v="Levi's Shoes 175"/>
    <s v="Levi's"/>
    <x v="1"/>
    <n v="2790"/>
    <n v="1520"/>
    <n v="4.3"/>
    <n v="292"/>
    <s v="XXL"/>
    <n v="45.519713261648747"/>
  </r>
  <r>
    <s v="P1076"/>
    <s v="Puma Jeans 111"/>
    <s v="Puma"/>
    <x v="3"/>
    <n v="4466"/>
    <n v="3284"/>
    <n v="4.3"/>
    <n v="788"/>
    <s v="S, M, XL"/>
    <n v="26.466636811464401"/>
  </r>
  <r>
    <s v="P1077"/>
    <s v="H&amp;M Shoes 92"/>
    <s v="H&amp;M"/>
    <x v="1"/>
    <n v="2976"/>
    <n v="2898"/>
    <n v="4.3"/>
    <n v="139"/>
    <s v="S, XXL, L"/>
    <n v="2.620967741935484"/>
  </r>
  <r>
    <s v="P1087"/>
    <s v="Roadster Jacket 42"/>
    <s v="Roadster"/>
    <x v="5"/>
    <n v="826"/>
    <n v="555"/>
    <n v="4.3"/>
    <n v="628"/>
    <s v="S, XXL, XL"/>
    <n v="32.808716707021787"/>
  </r>
  <r>
    <s v="P1031"/>
    <s v="Levi's Jeans 136"/>
    <s v="Levi's"/>
    <x v="3"/>
    <n v="3742"/>
    <n v="3424"/>
    <n v="4.2"/>
    <n v="317"/>
    <s v="L, S, XL, M"/>
    <n v="8.4981293425975419"/>
  </r>
  <r>
    <s v="P1047"/>
    <s v="Zara Kurta 210"/>
    <s v="Zara"/>
    <x v="4"/>
    <n v="3172"/>
    <n v="2298"/>
    <n v="4.2"/>
    <n v="577"/>
    <s v="M, XL"/>
    <n v="27.553593947036571"/>
  </r>
  <r>
    <s v="P1050"/>
    <s v="Puma Kurta 44"/>
    <s v="Puma"/>
    <x v="4"/>
    <n v="2824"/>
    <n v="1719"/>
    <n v="4.2"/>
    <n v="644"/>
    <s v="S, M, L"/>
    <n v="39.128895184135978"/>
  </r>
  <r>
    <s v="P1074"/>
    <s v="Zara Jeans 208"/>
    <s v="Zara"/>
    <x v="3"/>
    <n v="2493"/>
    <n v="1816"/>
    <n v="4.2"/>
    <n v="387"/>
    <s v="XXL, L, M, XL"/>
    <n v="27.156036903329323"/>
  </r>
  <r>
    <s v="P1082"/>
    <s v="Adidas Jeans 321"/>
    <s v="Adidas"/>
    <x v="3"/>
    <n v="2228"/>
    <n v="1637"/>
    <n v="4.2"/>
    <n v="170"/>
    <s v="M, S"/>
    <n v="26.526032315978455"/>
  </r>
  <r>
    <s v="P1084"/>
    <s v="Zara Kurta 145"/>
    <s v="Zara"/>
    <x v="4"/>
    <n v="4219"/>
    <n v="3878"/>
    <n v="4.2"/>
    <n v="956"/>
    <s v="XXL, M, XL"/>
    <n v="8.0824840009480923"/>
  </r>
  <r>
    <s v="P1007"/>
    <s v="H&amp;M Kurta 137"/>
    <s v="H&amp;M"/>
    <x v="4"/>
    <n v="1084"/>
    <n v="723"/>
    <n v="4.0999999999999996"/>
    <n v="556"/>
    <s v="M, XL"/>
    <n v="33.302583025830259"/>
  </r>
  <r>
    <s v="P1068"/>
    <s v="UCB Kurta 190"/>
    <s v="UCB"/>
    <x v="4"/>
    <n v="1064"/>
    <n v="755"/>
    <n v="4.0999999999999996"/>
    <n v="22"/>
    <s v="XL, S, M, L"/>
    <n v="29.041353383458645"/>
  </r>
  <r>
    <s v="P1033"/>
    <s v="Zara Jeans 225"/>
    <s v="Zara"/>
    <x v="3"/>
    <n v="4950"/>
    <n v="3661"/>
    <n v="4"/>
    <n v="836"/>
    <s v="XXL"/>
    <n v="26.040404040404042"/>
  </r>
  <r>
    <s v="P1043"/>
    <s v="Levi's T-Shirt 60"/>
    <s v="Levi's"/>
    <x v="2"/>
    <n v="2639"/>
    <n v="2224"/>
    <n v="4"/>
    <n v="281"/>
    <s v="S"/>
    <n v="15.72565365668814"/>
  </r>
  <r>
    <s v="P1044"/>
    <s v="UCB Shoes 374"/>
    <s v="UCB"/>
    <x v="1"/>
    <n v="3069"/>
    <n v="2126"/>
    <n v="4"/>
    <n v="533"/>
    <s v="XL"/>
    <n v="30.726621049201697"/>
  </r>
  <r>
    <s v="P1054"/>
    <s v="Puma Jacket 342"/>
    <s v="Puma"/>
    <x v="5"/>
    <n v="4851"/>
    <n v="2512"/>
    <n v="4"/>
    <n v="982"/>
    <s v="XXL, XL, L, M"/>
    <n v="48.216862502576788"/>
  </r>
  <r>
    <s v="P1060"/>
    <s v="Puma Shirt 274"/>
    <s v="Puma"/>
    <x v="0"/>
    <n v="720"/>
    <n v="469"/>
    <n v="4"/>
    <n v="688"/>
    <s v="S"/>
    <n v="34.861111111111107"/>
  </r>
  <r>
    <s v="P1067"/>
    <s v="Adidas Kurta 396"/>
    <s v="Adidas"/>
    <x v="4"/>
    <n v="2970"/>
    <n v="1519"/>
    <n v="4"/>
    <n v="133"/>
    <s v="L"/>
    <n v="48.855218855218858"/>
  </r>
  <r>
    <s v="P1083"/>
    <s v="Puma T-Shirt 210"/>
    <s v="Puma"/>
    <x v="2"/>
    <n v="4190"/>
    <n v="2729"/>
    <n v="4"/>
    <n v="308"/>
    <s v="M"/>
    <n v="34.868735083532222"/>
  </r>
  <r>
    <s v="P1039"/>
    <s v="H&amp;M Kurta 53"/>
    <s v="H&amp;M"/>
    <x v="4"/>
    <n v="3397"/>
    <n v="1750"/>
    <n v="3.9"/>
    <n v="905"/>
    <s v="XXL, M, S, L"/>
    <n v="48.483956432146016"/>
  </r>
  <r>
    <s v="P1048"/>
    <s v="UCB Kurta 384"/>
    <s v="UCB"/>
    <x v="4"/>
    <n v="1925"/>
    <n v="1245"/>
    <n v="3.9"/>
    <n v="425"/>
    <s v="L"/>
    <n v="35.324675324675326"/>
  </r>
  <r>
    <s v="P1066"/>
    <s v="Zara T-Shirt 297"/>
    <s v="Zara"/>
    <x v="2"/>
    <n v="710"/>
    <n v="501"/>
    <n v="3.9"/>
    <n v="939"/>
    <s v="XL, M, S, L"/>
    <n v="29.43661971830986"/>
  </r>
  <r>
    <s v="P1073"/>
    <s v="H&amp;M T-Shirt 124"/>
    <s v="H&amp;M"/>
    <x v="2"/>
    <n v="3829"/>
    <n v="2779"/>
    <n v="3.9"/>
    <n v="256"/>
    <s v="XL, XXL, S, L"/>
    <n v="27.422303473491773"/>
  </r>
  <r>
    <s v="P1098"/>
    <s v="Roadster Shirt 248"/>
    <s v="Roadster"/>
    <x v="0"/>
    <n v="3327"/>
    <n v="2597"/>
    <n v="3.9"/>
    <n v="566"/>
    <s v="XL, L, S, XXL"/>
    <n v="21.941689209498048"/>
  </r>
  <r>
    <s v="P1021"/>
    <s v="Adidas T-Shirt 441"/>
    <s v="Adidas"/>
    <x v="2"/>
    <n v="3206"/>
    <n v="3011"/>
    <n v="3.8"/>
    <n v="295"/>
    <s v="M, XXL, L, XL"/>
    <n v="6.0823456019962574"/>
  </r>
  <r>
    <s v="P1035"/>
    <s v="H&amp;M Kurta 176"/>
    <s v="H&amp;M"/>
    <x v="4"/>
    <n v="2167"/>
    <n v="1577"/>
    <n v="3.8"/>
    <n v="267"/>
    <s v="S"/>
    <n v="27.226580526072912"/>
  </r>
  <r>
    <s v="P1045"/>
    <s v="H&amp;M Shoes 23"/>
    <s v="H&amp;M"/>
    <x v="1"/>
    <n v="4072"/>
    <n v="4019"/>
    <n v="3.8"/>
    <n v="835"/>
    <s v="L, XL"/>
    <n v="1.3015717092337917"/>
  </r>
  <r>
    <s v="P1011"/>
    <s v="UCB Shoes 113"/>
    <s v="UCB"/>
    <x v="1"/>
    <n v="1633"/>
    <n v="1062"/>
    <n v="3.7"/>
    <n v="783"/>
    <s v="S"/>
    <n v="34.966319657072873"/>
  </r>
  <r>
    <s v="P1058"/>
    <s v="H&amp;M Jacket 200"/>
    <s v="H&amp;M"/>
    <x v="5"/>
    <n v="660"/>
    <n v="416"/>
    <n v="3.7"/>
    <n v="975"/>
    <s v="L, XL, M"/>
    <n v="36.969696969696969"/>
  </r>
  <r>
    <s v="P1059"/>
    <s v="H&amp;M Jacket 113"/>
    <s v="H&amp;M"/>
    <x v="5"/>
    <n v="2735"/>
    <n v="1793"/>
    <n v="3.7"/>
    <n v="408"/>
    <s v="XL, M, XXL"/>
    <n v="34.442413162705662"/>
  </r>
  <r>
    <s v="P1090"/>
    <s v="Adidas Jeans 169"/>
    <s v="Adidas"/>
    <x v="3"/>
    <n v="3872"/>
    <n v="2402"/>
    <n v="3.7"/>
    <n v="688"/>
    <s v="XXL, S, M, XL"/>
    <n v="37.964876033057855"/>
  </r>
  <r>
    <s v="P1024"/>
    <s v="H&amp;M Jeans 275"/>
    <s v="H&amp;M"/>
    <x v="3"/>
    <n v="4175"/>
    <n v="3838"/>
    <n v="3.6"/>
    <n v="295"/>
    <s v="M, S, XXL, XL"/>
    <n v="8.0718562874251489"/>
  </r>
  <r>
    <s v="P1049"/>
    <s v="Zara Jeans 221"/>
    <s v="Zara"/>
    <x v="3"/>
    <n v="3139"/>
    <n v="2137"/>
    <n v="3.6"/>
    <n v="701"/>
    <s v="XXL, XL"/>
    <n v="31.920993947116916"/>
  </r>
  <r>
    <s v="P1006"/>
    <s v="Zara T-Shirt 438"/>
    <s v="Zara"/>
    <x v="2"/>
    <n v="2407"/>
    <n v="2151"/>
    <n v="3.5"/>
    <n v="474"/>
    <s v="M, L, XXL"/>
    <n v="10.635646032405484"/>
  </r>
  <r>
    <s v="P1023"/>
    <s v="Nike Kurta 335"/>
    <s v="Nike"/>
    <x v="4"/>
    <n v="1306"/>
    <n v="1194"/>
    <n v="3.5"/>
    <n v="357"/>
    <s v="M"/>
    <n v="8.5758039816232774"/>
  </r>
  <r>
    <s v="P1052"/>
    <s v="H&amp;M Kurta 357"/>
    <s v="H&amp;M"/>
    <x v="4"/>
    <n v="3645"/>
    <n v="2583"/>
    <n v="3.5"/>
    <n v="161"/>
    <s v="S"/>
    <n v="29.1358024691358"/>
  </r>
  <r>
    <s v="P1081"/>
    <s v="UCB Shirt 306"/>
    <s v="UCB"/>
    <x v="0"/>
    <n v="2348"/>
    <n v="1228"/>
    <n v="3.5"/>
    <n v="940"/>
    <s v="L, XL, M, S"/>
    <n v="47.700170357751276"/>
  </r>
  <r>
    <s v="P1015"/>
    <s v="Zara Kurta 260"/>
    <s v="Zara"/>
    <x v="4"/>
    <n v="2129"/>
    <n v="1923"/>
    <n v="3.4"/>
    <n v="175"/>
    <s v="XXL"/>
    <n v="9.6759041803663699"/>
  </r>
  <r>
    <s v="P1092"/>
    <s v="Roadster Jacket 28"/>
    <s v="Roadster"/>
    <x v="5"/>
    <n v="2036"/>
    <n v="1456"/>
    <n v="3.4"/>
    <n v="784"/>
    <s v="XL, S, XXL, M"/>
    <n v="28.487229862475445"/>
  </r>
  <r>
    <s v="P1046"/>
    <s v="Adidas Kurta 472"/>
    <s v="Adidas"/>
    <x v="4"/>
    <n v="3204"/>
    <n v="1878"/>
    <n v="3.3"/>
    <n v="878"/>
    <s v="L"/>
    <n v="41.385767790262172"/>
  </r>
  <r>
    <s v="P1071"/>
    <s v="Roadster Jeans 385"/>
    <s v="Roadster"/>
    <x v="3"/>
    <n v="4306"/>
    <n v="2704"/>
    <n v="3.3"/>
    <n v="516"/>
    <s v="M, XL, S"/>
    <n v="37.203901532745007"/>
  </r>
  <r>
    <s v="P1099"/>
    <s v="UCB Jeans 439"/>
    <s v="UCB"/>
    <x v="3"/>
    <n v="3865"/>
    <n v="3726"/>
    <n v="3.3"/>
    <n v="494"/>
    <s v="XL, M, XXL, S"/>
    <n v="3.5963777490297542"/>
  </r>
  <r>
    <s v="P1004"/>
    <s v="UCB T-Shirt 184"/>
    <s v="UCB"/>
    <x v="2"/>
    <n v="3317"/>
    <n v="2031"/>
    <n v="3.2"/>
    <n v="54"/>
    <s v="XXL, S, M, XL"/>
    <n v="38.769972867048537"/>
  </r>
  <r>
    <s v="P1032"/>
    <s v="Adidas T-Shirt 276"/>
    <s v="Adidas"/>
    <x v="2"/>
    <n v="2246"/>
    <n v="1160"/>
    <n v="3.2"/>
    <n v="965"/>
    <s v="S, M, XL"/>
    <n v="48.352626892252893"/>
  </r>
  <r>
    <s v="P1042"/>
    <s v="Nike Kurta 99"/>
    <s v="Nike"/>
    <x v="4"/>
    <n v="3764"/>
    <n v="3042"/>
    <n v="3.2"/>
    <n v="81"/>
    <s v="L, XL, XXL"/>
    <n v="19.181721572794899"/>
  </r>
  <r>
    <s v="P1000"/>
    <s v="Adidas T-Shirt 380"/>
    <s v="Adidas"/>
    <x v="2"/>
    <n v="2753"/>
    <n v="2202"/>
    <n v="3.1"/>
    <n v="764"/>
    <s v="XXL"/>
    <n v="20.01452960406829"/>
  </r>
  <r>
    <s v="P1002"/>
    <s v="H&amp;M Kurta 333"/>
    <s v="H&amp;M"/>
    <x v="4"/>
    <n v="4964"/>
    <n v="3196"/>
    <n v="3.1"/>
    <n v="613"/>
    <s v="S, M, L"/>
    <n v="35.61643835616438"/>
  </r>
  <r>
    <s v="P1055"/>
    <s v="Puma Kurta 442"/>
    <s v="Puma"/>
    <x v="4"/>
    <n v="4388"/>
    <n v="2495"/>
    <n v="3.1"/>
    <n v="263"/>
    <s v="XXL, XL, L"/>
    <n v="43.140382862351871"/>
  </r>
  <r>
    <s v="P1056"/>
    <s v="H&amp;M Shoes 226"/>
    <s v="H&amp;M"/>
    <x v="1"/>
    <n v="1134"/>
    <n v="792"/>
    <n v="3.1"/>
    <n v="353"/>
    <s v="XXL, S, XL"/>
    <n v="30.158730158730158"/>
  </r>
  <r>
    <s v="P1075"/>
    <s v="Levi's Kurta 233"/>
    <s v="Levi's"/>
    <x v="4"/>
    <n v="2719"/>
    <n v="2042"/>
    <n v="3.1"/>
    <n v="133"/>
    <s v="L, S"/>
    <n v="24.898859874954027"/>
  </r>
  <r>
    <s v="P1005"/>
    <s v="Zara Kurta 317"/>
    <s v="Zara"/>
    <x v="4"/>
    <n v="3462"/>
    <n v="2230"/>
    <n v="3"/>
    <n v="81"/>
    <s v="M"/>
    <n v="35.586366262276144"/>
  </r>
  <r>
    <s v="P1009"/>
    <s v="Nike Shoes 206"/>
    <s v="Nike"/>
    <x v="1"/>
    <n v="2693"/>
    <n v="2508"/>
    <n v="3"/>
    <n v="975"/>
    <s v="M, XL, XXL"/>
    <n v="6.8696620868919425"/>
  </r>
  <r>
    <s v="P1041"/>
    <s v="UCB T-Shirt 440"/>
    <s v="UCB"/>
    <x v="2"/>
    <n v="4355"/>
    <n v="3394"/>
    <n v="3"/>
    <n v="950"/>
    <s v="L, XXL, S, XL"/>
    <n v="22.066590126291619"/>
  </r>
  <r>
    <s v="P1057"/>
    <s v="Puma Jeans 197"/>
    <s v="Puma"/>
    <x v="3"/>
    <n v="1751"/>
    <n v="978"/>
    <n v="3"/>
    <n v="434"/>
    <s v="L, XL, M, S"/>
    <n v="44.146202170188467"/>
  </r>
  <r>
    <s v="P1079"/>
    <s v="Zara Jacket 246"/>
    <s v="Zara"/>
    <x v="5"/>
    <n v="4108"/>
    <n v="3361"/>
    <n v="3"/>
    <n v="62"/>
    <s v="XL, S, XXL"/>
    <n v="18.184031158714703"/>
  </r>
  <r>
    <s v="P1096"/>
    <s v="H&amp;M Jacket 283"/>
    <s v="H&amp;M"/>
    <x v="5"/>
    <n v="1684"/>
    <n v="1242"/>
    <n v="3"/>
    <n v="623"/>
    <s v="S, L"/>
    <n v="26.247030878859857"/>
  </r>
  <r>
    <s v="P1026"/>
    <s v="Roadster Jacket 110"/>
    <s v="Roadster"/>
    <x v="5"/>
    <n v="3785"/>
    <n v="3615"/>
    <n v="2.9"/>
    <n v="12"/>
    <s v="L, XL, M, XXL"/>
    <n v="4.4914134742404226"/>
  </r>
  <r>
    <s v="P1065"/>
    <s v="H&amp;M Jacket 359"/>
    <s v="H&amp;M"/>
    <x v="5"/>
    <n v="2599"/>
    <n v="1794"/>
    <n v="2.9"/>
    <n v="631"/>
    <s v="M"/>
    <n v="30.973451327433626"/>
  </r>
  <r>
    <s v="P1080"/>
    <s v="UCB Jacket 38"/>
    <s v="UCB"/>
    <x v="5"/>
    <n v="939"/>
    <n v="812"/>
    <n v="2.9"/>
    <n v="586"/>
    <s v="S, M, XXL"/>
    <n v="13.525026624068156"/>
  </r>
  <r>
    <s v="P1019"/>
    <s v="Levi's Jacket 461"/>
    <s v="Levi's"/>
    <x v="5"/>
    <n v="4739"/>
    <n v="2840"/>
    <n v="2.8"/>
    <n v="240"/>
    <s v="L"/>
    <n v="40.071745093901669"/>
  </r>
  <r>
    <s v="P1034"/>
    <s v="Zara Kurta 54"/>
    <s v="Zara"/>
    <x v="4"/>
    <n v="1600"/>
    <n v="1280"/>
    <n v="2.8"/>
    <n v="119"/>
    <s v="L, XXL"/>
    <n v="20"/>
  </r>
  <r>
    <s v="P1038"/>
    <s v="Levi's Shirt 283"/>
    <s v="Levi's"/>
    <x v="0"/>
    <n v="1713"/>
    <n v="1223"/>
    <n v="2.8"/>
    <n v="325"/>
    <s v="S, L, XXL"/>
    <n v="28.604786923525978"/>
  </r>
  <r>
    <s v="P1064"/>
    <s v="H&amp;M T-Shirt 319"/>
    <s v="H&amp;M"/>
    <x v="2"/>
    <n v="1748"/>
    <n v="1454"/>
    <n v="2.8"/>
    <n v="695"/>
    <s v="XXL"/>
    <n v="16.819221967963387"/>
  </r>
  <r>
    <s v="P1086"/>
    <s v="Zara Shirt 384"/>
    <s v="Zara"/>
    <x v="0"/>
    <n v="2864"/>
    <n v="1915"/>
    <n v="2.8"/>
    <n v="715"/>
    <s v="XL, L, XXL"/>
    <n v="33.135474860335194"/>
  </r>
  <r>
    <s v="P1001"/>
    <s v="Adidas Shirt 217"/>
    <s v="Adidas"/>
    <x v="0"/>
    <n v="760"/>
    <n v="695"/>
    <n v="2.7"/>
    <n v="248"/>
    <s v="XXL"/>
    <n v="8.5526315789473681"/>
  </r>
  <r>
    <s v="P1012"/>
    <s v="Puma Kurta 82"/>
    <s v="Puma"/>
    <x v="4"/>
    <n v="3958"/>
    <n v="2687"/>
    <n v="2.7"/>
    <n v="400"/>
    <s v="XXL, L, XL, S"/>
    <n v="32.112177867609901"/>
  </r>
  <r>
    <s v="P1022"/>
    <s v="H&amp;M Jacket 414"/>
    <s v="H&amp;M"/>
    <x v="5"/>
    <n v="3834"/>
    <n v="3395"/>
    <n v="2.7"/>
    <n v="684"/>
    <s v="L, XL, M, XXL"/>
    <n v="11.45018257694314"/>
  </r>
  <r>
    <s v="P1030"/>
    <s v="H&amp;M Shirt 305"/>
    <s v="H&amp;M"/>
    <x v="0"/>
    <n v="825"/>
    <n v="458"/>
    <n v="2.7"/>
    <n v="683"/>
    <s v="L, M, XXL"/>
    <n v="44.484848484848484"/>
  </r>
  <r>
    <s v="P1051"/>
    <s v="Zara Jeans 413"/>
    <s v="Zara"/>
    <x v="3"/>
    <n v="2131"/>
    <n v="1931"/>
    <n v="2.6"/>
    <n v="260"/>
    <s v="XXL, S, M, L"/>
    <n v="9.3852651337400275"/>
  </r>
  <r>
    <s v="P1053"/>
    <s v="UCB Jeans 91"/>
    <s v="UCB"/>
    <x v="3"/>
    <n v="4743"/>
    <n v="2791"/>
    <n v="2.6"/>
    <n v="265"/>
    <s v="XL"/>
    <n v="41.155386885937176"/>
  </r>
  <r>
    <s v="P1061"/>
    <s v="UCB Jeans 444"/>
    <s v="UCB"/>
    <x v="3"/>
    <n v="4282"/>
    <n v="3488"/>
    <n v="2.6"/>
    <n v="398"/>
    <s v="M, XL, XXL"/>
    <n v="18.542737038766933"/>
  </r>
  <r>
    <s v="P1088"/>
    <s v="Nike Kurta 421"/>
    <s v="Nike"/>
    <x v="4"/>
    <n v="2707"/>
    <n v="1477"/>
    <n v="2.6"/>
    <n v="784"/>
    <s v="XL, XXL"/>
    <n v="45.437753971185813"/>
  </r>
  <r>
    <s v="P1093"/>
    <s v="Puma Shoes 225"/>
    <s v="Puma"/>
    <x v="1"/>
    <n v="4470"/>
    <n v="3923"/>
    <n v="2.6"/>
    <n v="655"/>
    <s v="M, L"/>
    <n v="12.237136465324385"/>
  </r>
  <r>
    <s v="P1020"/>
    <s v="Nike Shirt 284"/>
    <s v="Nike"/>
    <x v="0"/>
    <n v="2385"/>
    <n v="1884"/>
    <n v="2.5"/>
    <n v="734"/>
    <s v="M"/>
    <n v="21.00628930817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s v="P1094"/>
    <s v="Nike Shirt 209"/>
    <s v="Nike"/>
    <x v="0"/>
    <n v="1263"/>
    <n v="983"/>
    <n v="5"/>
    <n v="944"/>
    <s v="XL"/>
    <m/>
    <m/>
    <m/>
    <n v="0"/>
    <n v="0"/>
    <n v="0"/>
    <n v="1"/>
    <n v="0"/>
    <n v="22.169437846397464"/>
    <x v="0"/>
  </r>
  <r>
    <s v="P1003"/>
    <s v="UCB Shoes 143"/>
    <s v="UCB"/>
    <x v="1"/>
    <n v="1773"/>
    <n v="1503"/>
    <n v="4.9000000000000004"/>
    <n v="354"/>
    <s v="S"/>
    <m/>
    <s v="XS"/>
    <m/>
    <n v="1"/>
    <n v="0"/>
    <n v="0"/>
    <n v="0"/>
    <n v="0"/>
    <n v="15.228426395939088"/>
    <x v="1"/>
  </r>
  <r>
    <s v="P1017"/>
    <s v="Adidas T-Shirt 375"/>
    <s v="Adidas"/>
    <x v="2"/>
    <n v="4481"/>
    <n v="4148"/>
    <n v="4.9000000000000004"/>
    <n v="555"/>
    <s v="M"/>
    <s v=" XL"/>
    <s v="XS"/>
    <m/>
    <n v="0"/>
    <n v="1"/>
    <n v="0"/>
    <n v="1"/>
    <n v="0"/>
    <n v="7.4313769247935726"/>
    <x v="1"/>
  </r>
  <r>
    <s v="P1027"/>
    <s v="Roadster Jeans 98"/>
    <s v="Roadster"/>
    <x v="3"/>
    <n v="2930"/>
    <n v="2435"/>
    <n v="4.9000000000000004"/>
    <n v="603"/>
    <s v="L"/>
    <m/>
    <m/>
    <m/>
    <n v="0"/>
    <n v="0"/>
    <n v="1"/>
    <n v="0"/>
    <n v="0"/>
    <n v="16.89419795221843"/>
    <x v="1"/>
  </r>
  <r>
    <s v="P1037"/>
    <s v="UCB Shirt 5"/>
    <s v="UCB"/>
    <x v="0"/>
    <n v="1416"/>
    <n v="1289"/>
    <n v="4.9000000000000004"/>
    <n v="717"/>
    <s v="XXL"/>
    <s v=" S"/>
    <m/>
    <m/>
    <n v="1"/>
    <n v="0"/>
    <n v="0"/>
    <n v="0"/>
    <n v="1"/>
    <n v="8.9689265536723166"/>
    <x v="2"/>
  </r>
  <r>
    <s v="P1063"/>
    <s v="Nike Shoes 115"/>
    <s v="Nike"/>
    <x v="1"/>
    <n v="1062"/>
    <n v="613"/>
    <n v="4.9000000000000004"/>
    <n v="51"/>
    <s v="M"/>
    <m/>
    <m/>
    <m/>
    <n v="0"/>
    <n v="1"/>
    <n v="0"/>
    <n v="0"/>
    <n v="0"/>
    <n v="42.278719397363467"/>
    <x v="0"/>
  </r>
  <r>
    <s v="P1018"/>
    <s v="Puma Shoes 271"/>
    <s v="Puma"/>
    <x v="1"/>
    <n v="3966"/>
    <n v="3483"/>
    <n v="4.8"/>
    <n v="783"/>
    <s v="L"/>
    <s v=" XL"/>
    <m/>
    <m/>
    <n v="0"/>
    <n v="0"/>
    <n v="1"/>
    <n v="1"/>
    <n v="0"/>
    <n v="12.178517397881997"/>
    <x v="1"/>
  </r>
  <r>
    <s v="P1025"/>
    <s v="Nike Kurta 277"/>
    <s v="Nike"/>
    <x v="4"/>
    <n v="620"/>
    <n v="523"/>
    <n v="4.8"/>
    <n v="879"/>
    <s v="M"/>
    <s v=" XL"/>
    <m/>
    <m/>
    <n v="0"/>
    <n v="1"/>
    <n v="0"/>
    <n v="1"/>
    <n v="0"/>
    <n v="15.645161290322582"/>
    <x v="0"/>
  </r>
  <r>
    <s v="P1028"/>
    <s v="Nike T-Shirt 300"/>
    <s v="Nike"/>
    <x v="2"/>
    <n v="4405"/>
    <n v="2296"/>
    <n v="4.8"/>
    <n v="553"/>
    <s v="S"/>
    <s v=" XXL"/>
    <m/>
    <m/>
    <n v="1"/>
    <n v="0"/>
    <n v="0"/>
    <n v="0"/>
    <n v="1"/>
    <n v="47.877412031782072"/>
    <x v="1"/>
  </r>
  <r>
    <s v="P1040"/>
    <s v="Puma Jacket 13"/>
    <s v="Puma"/>
    <x v="5"/>
    <n v="1969"/>
    <n v="1165"/>
    <n v="4.8"/>
    <n v="811"/>
    <s v="M"/>
    <s v=" L"/>
    <s v=" S"/>
    <s v=" XL"/>
    <n v="1"/>
    <n v="1"/>
    <n v="1"/>
    <n v="1"/>
    <n v="0"/>
    <n v="40.832910106653124"/>
    <x v="2"/>
  </r>
  <r>
    <s v="P1095"/>
    <s v="Adidas Kurta 427"/>
    <s v="Adidas"/>
    <x v="4"/>
    <n v="1761"/>
    <n v="1201"/>
    <n v="4.8"/>
    <n v="308"/>
    <s v="XL"/>
    <s v=" XXL"/>
    <s v=" M"/>
    <m/>
    <n v="0"/>
    <n v="1"/>
    <n v="0"/>
    <n v="1"/>
    <n v="1"/>
    <n v="31.800113571834189"/>
    <x v="2"/>
  </r>
  <r>
    <s v="P1014"/>
    <s v="UCB Jeans 233"/>
    <s v="UCB"/>
    <x v="3"/>
    <n v="526"/>
    <n v="292"/>
    <n v="4.7"/>
    <n v="279"/>
    <s v="XXL"/>
    <s v=" S"/>
    <m/>
    <m/>
    <n v="1"/>
    <n v="0"/>
    <n v="0"/>
    <n v="0"/>
    <n v="1"/>
    <n v="44.486692015209123"/>
    <x v="3"/>
  </r>
  <r>
    <s v="P1016"/>
    <s v="Levi's Jacket 10"/>
    <s v="Levi's"/>
    <x v="5"/>
    <n v="1416"/>
    <n v="995"/>
    <n v="4.7"/>
    <n v="861"/>
    <s v="M"/>
    <s v=" S"/>
    <s v=" XL"/>
    <m/>
    <n v="1"/>
    <n v="1"/>
    <n v="0"/>
    <n v="1"/>
    <n v="0"/>
    <n v="29.731638418079097"/>
    <x v="0"/>
  </r>
  <r>
    <s v="P1029"/>
    <s v="Puma T-Shirt 305"/>
    <s v="Puma"/>
    <x v="2"/>
    <n v="1056"/>
    <n v="661"/>
    <n v="4.7"/>
    <n v="423"/>
    <s v="XXL"/>
    <m/>
    <m/>
    <m/>
    <n v="0"/>
    <n v="0"/>
    <n v="0"/>
    <n v="0"/>
    <n v="1"/>
    <n v="37.405303030303031"/>
    <x v="0"/>
  </r>
  <r>
    <s v="P1078"/>
    <s v="Zara Kurta 484"/>
    <s v="Zara"/>
    <x v="4"/>
    <n v="1534"/>
    <n v="831"/>
    <n v="4.7"/>
    <n v="512"/>
    <s v="S"/>
    <m/>
    <m/>
    <m/>
    <n v="1"/>
    <n v="0"/>
    <n v="0"/>
    <n v="0"/>
    <n v="0"/>
    <n v="45.827900912646676"/>
    <x v="0"/>
  </r>
  <r>
    <s v="P1091"/>
    <s v="Levi's Shoes 166"/>
    <s v="Levi's"/>
    <x v="1"/>
    <n v="1449"/>
    <n v="986"/>
    <n v="4.7"/>
    <n v="854"/>
    <s v="XXL"/>
    <m/>
    <m/>
    <m/>
    <n v="0"/>
    <n v="0"/>
    <n v="0"/>
    <n v="0"/>
    <n v="1"/>
    <n v="31.953071083505868"/>
    <x v="0"/>
  </r>
  <r>
    <s v="P1008"/>
    <s v="UCB Shoes 474"/>
    <s v="UCB"/>
    <x v="1"/>
    <n v="2299"/>
    <n v="1585"/>
    <n v="4.5999999999999996"/>
    <n v="804"/>
    <s v="M"/>
    <m/>
    <m/>
    <m/>
    <n v="0"/>
    <n v="1"/>
    <n v="0"/>
    <n v="0"/>
    <n v="0"/>
    <n v="31.056981296215746"/>
    <x v="1"/>
  </r>
  <r>
    <s v="P1062"/>
    <s v="Levi's Jacket 143"/>
    <s v="Levi's"/>
    <x v="5"/>
    <n v="3953"/>
    <n v="3387"/>
    <n v="4.5999999999999996"/>
    <n v="491"/>
    <s v="XXL"/>
    <m/>
    <m/>
    <m/>
    <n v="0"/>
    <n v="0"/>
    <n v="0"/>
    <n v="0"/>
    <n v="1"/>
    <n v="14.318239311915001"/>
    <x v="1"/>
  </r>
  <r>
    <s v="P1070"/>
    <s v="UCB Kurta 304"/>
    <s v="UCB"/>
    <x v="4"/>
    <n v="2698"/>
    <n v="1988"/>
    <n v="4.5999999999999996"/>
    <n v="860"/>
    <s v="L"/>
    <m/>
    <m/>
    <m/>
    <n v="0"/>
    <n v="0"/>
    <n v="1"/>
    <n v="0"/>
    <n v="0"/>
    <n v="26.315789473684209"/>
    <x v="1"/>
  </r>
  <r>
    <s v="P1085"/>
    <s v="Adidas Shirt 116"/>
    <s v="Adidas"/>
    <x v="0"/>
    <n v="1720"/>
    <n v="1398"/>
    <n v="4.5999999999999996"/>
    <n v="83"/>
    <s v="M"/>
    <m/>
    <m/>
    <m/>
    <n v="0"/>
    <n v="1"/>
    <n v="0"/>
    <n v="0"/>
    <n v="0"/>
    <n v="18.720930232558139"/>
    <x v="2"/>
  </r>
  <r>
    <s v="P1097"/>
    <s v="UCB Shoes 479"/>
    <s v="UCB"/>
    <x v="1"/>
    <n v="4659"/>
    <n v="3515"/>
    <n v="4.5999999999999996"/>
    <n v="299"/>
    <s v="XXL"/>
    <s v=" XL"/>
    <s v=" S"/>
    <m/>
    <n v="1"/>
    <n v="0"/>
    <n v="0"/>
    <n v="1"/>
    <n v="1"/>
    <n v="24.554625456106461"/>
    <x v="1"/>
  </r>
  <r>
    <s v="P1089"/>
    <s v="Zara Jeans 300"/>
    <s v="Zara"/>
    <x v="3"/>
    <n v="4070"/>
    <n v="2720"/>
    <n v="4.5"/>
    <n v="103"/>
    <s v="L"/>
    <s v=" XL"/>
    <s v=" M"/>
    <s v=" XXL"/>
    <n v="0"/>
    <n v="1"/>
    <n v="1"/>
    <n v="1"/>
    <n v="1"/>
    <n v="33.169533169533175"/>
    <x v="1"/>
  </r>
  <r>
    <s v="P1010"/>
    <s v="Roadster Jeans 136"/>
    <s v="Roadster"/>
    <x v="3"/>
    <n v="1643"/>
    <n v="1341"/>
    <n v="4.4000000000000004"/>
    <n v="561"/>
    <s v="XXL"/>
    <s v=" XL"/>
    <s v=" L"/>
    <m/>
    <n v="0"/>
    <n v="0"/>
    <n v="1"/>
    <n v="1"/>
    <n v="1"/>
    <n v="18.381010346926356"/>
    <x v="2"/>
  </r>
  <r>
    <s v="P1013"/>
    <s v="Adidas Kurta 454"/>
    <s v="Adidas"/>
    <x v="4"/>
    <n v="4898"/>
    <n v="3756"/>
    <n v="4.4000000000000004"/>
    <n v="358"/>
    <s v="L"/>
    <m/>
    <m/>
    <m/>
    <n v="0"/>
    <n v="0"/>
    <n v="1"/>
    <n v="0"/>
    <n v="0"/>
    <n v="23.315639036341366"/>
    <x v="1"/>
  </r>
  <r>
    <s v="P1036"/>
    <s v="UCB Shoes 23"/>
    <s v="UCB"/>
    <x v="1"/>
    <n v="529"/>
    <n v="394"/>
    <n v="4.4000000000000004"/>
    <n v="662"/>
    <s v="M"/>
    <s v=" XL"/>
    <s v=" L"/>
    <m/>
    <n v="0"/>
    <n v="1"/>
    <n v="1"/>
    <n v="1"/>
    <n v="0"/>
    <n v="25.519848771266538"/>
    <x v="3"/>
  </r>
  <r>
    <s v="P1069"/>
    <s v="Roadster Kurta 79"/>
    <s v="Roadster"/>
    <x v="4"/>
    <n v="4067"/>
    <n v="3657"/>
    <n v="4.3"/>
    <n v="998"/>
    <s v="XXL"/>
    <s v=" XL"/>
    <s v=" M"/>
    <m/>
    <n v="0"/>
    <n v="1"/>
    <n v="0"/>
    <n v="1"/>
    <n v="1"/>
    <n v="10.081140890090975"/>
    <x v="1"/>
  </r>
  <r>
    <s v="P1072"/>
    <s v="Levi's Shoes 175"/>
    <s v="Levi's"/>
    <x v="1"/>
    <n v="2790"/>
    <n v="1520"/>
    <n v="4.3"/>
    <n v="292"/>
    <s v="XXL"/>
    <m/>
    <m/>
    <m/>
    <n v="0"/>
    <n v="0"/>
    <n v="0"/>
    <n v="0"/>
    <n v="1"/>
    <n v="45.519713261648747"/>
    <x v="1"/>
  </r>
  <r>
    <s v="P1076"/>
    <s v="Puma Jeans 111"/>
    <s v="Puma"/>
    <x v="3"/>
    <n v="4466"/>
    <n v="3284"/>
    <n v="4.3"/>
    <n v="788"/>
    <s v="S"/>
    <s v=" M"/>
    <s v=" XL"/>
    <m/>
    <n v="1"/>
    <n v="1"/>
    <n v="0"/>
    <n v="1"/>
    <n v="0"/>
    <n v="26.466636811464401"/>
    <x v="1"/>
  </r>
  <r>
    <s v="P1077"/>
    <s v="H&amp;M Shoes 92"/>
    <s v="H&amp;M"/>
    <x v="1"/>
    <n v="2976"/>
    <n v="2898"/>
    <n v="4.3"/>
    <n v="139"/>
    <s v="S"/>
    <s v=" XXL"/>
    <s v=" L"/>
    <m/>
    <n v="1"/>
    <n v="0"/>
    <n v="1"/>
    <n v="0"/>
    <n v="1"/>
    <n v="2.620967741935484"/>
    <x v="1"/>
  </r>
  <r>
    <s v="P1087"/>
    <s v="Roadster Jacket 42"/>
    <s v="Roadster"/>
    <x v="5"/>
    <n v="826"/>
    <n v="555"/>
    <n v="4.3"/>
    <n v="628"/>
    <s v="S"/>
    <s v=" XXL"/>
    <s v=" XL"/>
    <m/>
    <n v="1"/>
    <n v="0"/>
    <n v="0"/>
    <n v="1"/>
    <n v="1"/>
    <n v="32.808716707021787"/>
    <x v="0"/>
  </r>
  <r>
    <s v="P1031"/>
    <s v="Levi's Jeans 136"/>
    <s v="Levi's"/>
    <x v="3"/>
    <n v="3742"/>
    <n v="3424"/>
    <n v="4.2"/>
    <n v="317"/>
    <s v="L"/>
    <s v=" S"/>
    <s v=" XL"/>
    <s v=" M"/>
    <n v="1"/>
    <n v="1"/>
    <n v="1"/>
    <n v="1"/>
    <n v="0"/>
    <n v="8.4981293425975419"/>
    <x v="1"/>
  </r>
  <r>
    <s v="P1047"/>
    <s v="Zara Kurta 210"/>
    <s v="Zara"/>
    <x v="4"/>
    <n v="3172"/>
    <n v="2298"/>
    <n v="4.2"/>
    <n v="577"/>
    <s v="M"/>
    <s v=" XL"/>
    <m/>
    <m/>
    <n v="0"/>
    <n v="1"/>
    <n v="0"/>
    <n v="1"/>
    <n v="0"/>
    <n v="27.553593947036571"/>
    <x v="1"/>
  </r>
  <r>
    <s v="P1050"/>
    <s v="Puma Kurta 44"/>
    <s v="Puma"/>
    <x v="4"/>
    <n v="2824"/>
    <n v="1719"/>
    <n v="4.2"/>
    <n v="644"/>
    <s v="S"/>
    <s v=" M"/>
    <s v=" L"/>
    <m/>
    <n v="1"/>
    <n v="1"/>
    <n v="1"/>
    <n v="0"/>
    <n v="0"/>
    <n v="39.128895184135978"/>
    <x v="1"/>
  </r>
  <r>
    <s v="P1074"/>
    <s v="Zara Jeans 208"/>
    <s v="Zara"/>
    <x v="3"/>
    <n v="2493"/>
    <n v="1816"/>
    <n v="4.2"/>
    <n v="387"/>
    <s v="XXL"/>
    <s v=" L"/>
    <s v=" M"/>
    <s v=" XL"/>
    <n v="0"/>
    <n v="1"/>
    <n v="1"/>
    <n v="1"/>
    <n v="1"/>
    <n v="27.156036903329323"/>
    <x v="1"/>
  </r>
  <r>
    <s v="P1082"/>
    <s v="Adidas Jeans 321"/>
    <s v="Adidas"/>
    <x v="3"/>
    <n v="2228"/>
    <n v="1637"/>
    <n v="4.2"/>
    <n v="170"/>
    <s v="M"/>
    <s v=" S"/>
    <m/>
    <m/>
    <n v="1"/>
    <n v="1"/>
    <n v="0"/>
    <n v="0"/>
    <n v="0"/>
    <n v="26.526032315978455"/>
    <x v="1"/>
  </r>
  <r>
    <s v="P1084"/>
    <s v="Zara Kurta 145"/>
    <s v="Zara"/>
    <x v="4"/>
    <n v="4219"/>
    <n v="3878"/>
    <n v="4.2"/>
    <n v="956"/>
    <s v="XXL"/>
    <s v=" M"/>
    <s v=" XL"/>
    <m/>
    <n v="0"/>
    <n v="1"/>
    <n v="0"/>
    <n v="1"/>
    <n v="1"/>
    <n v="8.0824840009480923"/>
    <x v="1"/>
  </r>
  <r>
    <s v="P1007"/>
    <s v="H&amp;M Kurta 137"/>
    <s v="H&amp;M"/>
    <x v="4"/>
    <n v="1084"/>
    <n v="723"/>
    <n v="4.0999999999999996"/>
    <n v="556"/>
    <s v="M"/>
    <s v=" XL"/>
    <m/>
    <m/>
    <n v="0"/>
    <n v="1"/>
    <n v="0"/>
    <n v="1"/>
    <n v="0"/>
    <n v="33.302583025830259"/>
    <x v="0"/>
  </r>
  <r>
    <s v="P1068"/>
    <s v="UCB Kurta 190"/>
    <s v="UCB"/>
    <x v="4"/>
    <n v="1064"/>
    <n v="755"/>
    <n v="4.0999999999999996"/>
    <n v="22"/>
    <s v="XL"/>
    <s v=" S"/>
    <s v=" M"/>
    <s v=" L"/>
    <m/>
    <m/>
    <m/>
    <m/>
    <m/>
    <n v="29.041353383458645"/>
    <x v="4"/>
  </r>
  <r>
    <s v="P1033"/>
    <s v="Zara Jeans 225"/>
    <s v="Zara"/>
    <x v="3"/>
    <n v="4950"/>
    <n v="3661"/>
    <n v="4"/>
    <n v="836"/>
    <s v="XXL"/>
    <m/>
    <m/>
    <m/>
    <n v="0"/>
    <n v="0"/>
    <n v="0"/>
    <n v="0"/>
    <n v="0"/>
    <n v="26.040404040404042"/>
    <x v="1"/>
  </r>
  <r>
    <s v="P1043"/>
    <s v="Levi's T-Shirt 60"/>
    <s v="Levi's"/>
    <x v="2"/>
    <n v="2639"/>
    <n v="2224"/>
    <n v="4"/>
    <n v="281"/>
    <s v="S"/>
    <m/>
    <m/>
    <m/>
    <n v="1"/>
    <n v="0"/>
    <n v="0"/>
    <n v="0"/>
    <n v="0"/>
    <n v="15.72565365668814"/>
    <x v="1"/>
  </r>
  <r>
    <s v="P1044"/>
    <s v="UCB Shoes 374"/>
    <s v="UCB"/>
    <x v="1"/>
    <n v="3069"/>
    <n v="2126"/>
    <n v="4"/>
    <n v="533"/>
    <s v="XL"/>
    <m/>
    <m/>
    <m/>
    <n v="0"/>
    <n v="0"/>
    <n v="0"/>
    <n v="1"/>
    <n v="0"/>
    <n v="30.726621049201697"/>
    <x v="1"/>
  </r>
  <r>
    <s v="P1054"/>
    <s v="Puma Jacket 342"/>
    <s v="Puma"/>
    <x v="5"/>
    <n v="4851"/>
    <n v="2512"/>
    <n v="4"/>
    <n v="982"/>
    <s v="XXL"/>
    <s v=" XL"/>
    <s v=" L"/>
    <s v=" M"/>
    <n v="0"/>
    <n v="0"/>
    <n v="0"/>
    <n v="1"/>
    <n v="0"/>
    <n v="48.216862502576788"/>
    <x v="1"/>
  </r>
  <r>
    <s v="P1060"/>
    <s v="Puma Shirt 274"/>
    <s v="Puma"/>
    <x v="0"/>
    <n v="720"/>
    <n v="469"/>
    <n v="4"/>
    <n v="688"/>
    <s v="S"/>
    <m/>
    <m/>
    <m/>
    <n v="1"/>
    <n v="0"/>
    <n v="0"/>
    <n v="0"/>
    <n v="0"/>
    <n v="34.861111111111107"/>
    <x v="3"/>
  </r>
  <r>
    <s v="P1067"/>
    <s v="Adidas Kurta 396"/>
    <s v="Adidas"/>
    <x v="4"/>
    <n v="2970"/>
    <n v="1519"/>
    <n v="4"/>
    <n v="133"/>
    <s v="L"/>
    <m/>
    <m/>
    <m/>
    <n v="0"/>
    <n v="0"/>
    <n v="0"/>
    <n v="0"/>
    <n v="0"/>
    <n v="48.855218855218858"/>
    <x v="1"/>
  </r>
  <r>
    <s v="P1083"/>
    <s v="Puma T-Shirt 210"/>
    <s v="Puma"/>
    <x v="2"/>
    <n v="4190"/>
    <n v="2729"/>
    <n v="4"/>
    <n v="308"/>
    <s v="M"/>
    <m/>
    <m/>
    <m/>
    <n v="0"/>
    <n v="0"/>
    <n v="0"/>
    <n v="0"/>
    <n v="0"/>
    <n v="34.868735083532222"/>
    <x v="1"/>
  </r>
  <r>
    <s v="P1039"/>
    <s v="H&amp;M Kurta 53"/>
    <s v="H&amp;M"/>
    <x v="4"/>
    <n v="3397"/>
    <n v="1750"/>
    <n v="3.9"/>
    <n v="905"/>
    <s v="XXL"/>
    <s v=" M"/>
    <s v=" S"/>
    <s v=" L"/>
    <n v="1"/>
    <n v="0"/>
    <n v="0"/>
    <n v="0"/>
    <n v="0"/>
    <n v="48.483956432146016"/>
    <x v="1"/>
  </r>
  <r>
    <s v="P1048"/>
    <s v="UCB Kurta 384"/>
    <s v="UCB"/>
    <x v="4"/>
    <n v="1925"/>
    <n v="1245"/>
    <n v="3.9"/>
    <n v="425"/>
    <s v="L"/>
    <m/>
    <m/>
    <m/>
    <n v="0"/>
    <n v="0"/>
    <n v="0"/>
    <n v="0"/>
    <n v="0"/>
    <n v="35.324675324675326"/>
    <x v="2"/>
  </r>
  <r>
    <s v="P1066"/>
    <s v="Zara T-Shirt 297"/>
    <s v="Zara"/>
    <x v="2"/>
    <n v="710"/>
    <n v="501"/>
    <n v="3.9"/>
    <n v="939"/>
    <s v="XL"/>
    <s v=" M"/>
    <s v=" S"/>
    <s v=" L"/>
    <n v="1"/>
    <n v="0"/>
    <n v="0"/>
    <n v="1"/>
    <n v="0"/>
    <n v="29.43661971830986"/>
    <x v="0"/>
  </r>
  <r>
    <s v="P1073"/>
    <s v="H&amp;M T-Shirt 124"/>
    <s v="H&amp;M"/>
    <x v="2"/>
    <n v="3829"/>
    <n v="2779"/>
    <n v="3.9"/>
    <n v="256"/>
    <s v="XL"/>
    <s v=" XXL"/>
    <s v=" S"/>
    <s v=" L"/>
    <n v="1"/>
    <n v="0"/>
    <n v="0"/>
    <n v="1"/>
    <n v="0"/>
    <n v="27.422303473491773"/>
    <x v="1"/>
  </r>
  <r>
    <s v="P1098"/>
    <s v="Roadster Shirt 248"/>
    <s v="Roadster"/>
    <x v="0"/>
    <n v="3327"/>
    <n v="2597"/>
    <n v="3.9"/>
    <n v="566"/>
    <s v="XL"/>
    <s v=" L"/>
    <s v=" S"/>
    <s v=" XXL"/>
    <n v="1"/>
    <n v="0"/>
    <n v="0"/>
    <n v="1"/>
    <n v="0"/>
    <n v="21.941689209498048"/>
    <x v="1"/>
  </r>
  <r>
    <s v="P1021"/>
    <s v="Adidas T-Shirt 441"/>
    <s v="Adidas"/>
    <x v="2"/>
    <n v="3206"/>
    <n v="3011"/>
    <n v="3.8"/>
    <n v="295"/>
    <s v="M"/>
    <s v=" XXL"/>
    <s v=" L"/>
    <s v=" XL"/>
    <n v="0"/>
    <n v="0"/>
    <n v="0"/>
    <n v="1"/>
    <n v="0"/>
    <n v="6.0823456019962574"/>
    <x v="1"/>
  </r>
  <r>
    <s v="P1035"/>
    <s v="H&amp;M Kurta 176"/>
    <s v="H&amp;M"/>
    <x v="4"/>
    <n v="2167"/>
    <n v="1577"/>
    <n v="3.8"/>
    <n v="267"/>
    <s v="S"/>
    <m/>
    <m/>
    <m/>
    <n v="1"/>
    <n v="0"/>
    <n v="0"/>
    <n v="0"/>
    <n v="0"/>
    <n v="27.226580526072912"/>
    <x v="1"/>
  </r>
  <r>
    <s v="P1045"/>
    <s v="H&amp;M Shoes 23"/>
    <s v="H&amp;M"/>
    <x v="1"/>
    <n v="4072"/>
    <n v="4019"/>
    <n v="3.8"/>
    <n v="835"/>
    <s v="L"/>
    <s v=" XL"/>
    <m/>
    <m/>
    <n v="0"/>
    <n v="0"/>
    <n v="0"/>
    <n v="1"/>
    <n v="0"/>
    <n v="1.3015717092337917"/>
    <x v="1"/>
  </r>
  <r>
    <s v="P1011"/>
    <s v="UCB Shoes 113"/>
    <s v="UCB"/>
    <x v="1"/>
    <n v="1633"/>
    <n v="1062"/>
    <n v="3.7"/>
    <n v="783"/>
    <s v="S"/>
    <m/>
    <m/>
    <m/>
    <n v="1"/>
    <n v="0"/>
    <n v="0"/>
    <n v="0"/>
    <n v="0"/>
    <n v="34.966319657072873"/>
    <x v="2"/>
  </r>
  <r>
    <s v="P1058"/>
    <s v="H&amp;M Jacket 200"/>
    <s v="H&amp;M"/>
    <x v="5"/>
    <n v="660"/>
    <n v="416"/>
    <n v="3.7"/>
    <n v="975"/>
    <s v="L"/>
    <s v=" XL"/>
    <s v=" M"/>
    <m/>
    <n v="0"/>
    <n v="0"/>
    <n v="0"/>
    <n v="1"/>
    <n v="0"/>
    <n v="36.969696969696969"/>
    <x v="3"/>
  </r>
  <r>
    <s v="P1059"/>
    <s v="H&amp;M Jacket 113"/>
    <s v="H&amp;M"/>
    <x v="5"/>
    <n v="2735"/>
    <n v="1793"/>
    <n v="3.7"/>
    <n v="408"/>
    <s v="XL"/>
    <s v=" M"/>
    <s v=" XXL"/>
    <m/>
    <n v="0"/>
    <n v="0"/>
    <n v="0"/>
    <n v="1"/>
    <n v="0"/>
    <n v="34.442413162705662"/>
    <x v="1"/>
  </r>
  <r>
    <s v="P1090"/>
    <s v="Adidas Jeans 169"/>
    <s v="Adidas"/>
    <x v="3"/>
    <n v="3872"/>
    <n v="2402"/>
    <n v="3.7"/>
    <n v="688"/>
    <s v="XXL"/>
    <s v=" S"/>
    <s v=" M"/>
    <s v=" XL"/>
    <n v="1"/>
    <n v="0"/>
    <n v="0"/>
    <n v="1"/>
    <n v="0"/>
    <n v="37.964876033057855"/>
    <x v="1"/>
  </r>
  <r>
    <s v="P1024"/>
    <s v="H&amp;M Jeans 275"/>
    <s v="H&amp;M"/>
    <x v="3"/>
    <n v="4175"/>
    <n v="3838"/>
    <n v="3.6"/>
    <n v="295"/>
    <s v="M"/>
    <s v=" S"/>
    <s v=" XXL"/>
    <s v=" XL"/>
    <n v="1"/>
    <n v="0"/>
    <n v="0"/>
    <n v="1"/>
    <n v="0"/>
    <n v="8.0718562874251489"/>
    <x v="1"/>
  </r>
  <r>
    <s v="P1049"/>
    <s v="Zara Jeans 221"/>
    <s v="Zara"/>
    <x v="3"/>
    <n v="3139"/>
    <n v="2137"/>
    <n v="3.6"/>
    <n v="701"/>
    <s v="XXL"/>
    <s v=" XL"/>
    <m/>
    <m/>
    <n v="0"/>
    <n v="0"/>
    <n v="0"/>
    <n v="1"/>
    <n v="0"/>
    <n v="31.920993947116916"/>
    <x v="1"/>
  </r>
  <r>
    <s v="P1006"/>
    <s v="Zara T-Shirt 438"/>
    <s v="Zara"/>
    <x v="2"/>
    <n v="2407"/>
    <n v="2151"/>
    <n v="3.5"/>
    <n v="474"/>
    <s v="M"/>
    <s v=" L"/>
    <s v=" XXL"/>
    <m/>
    <n v="0"/>
    <n v="0"/>
    <n v="0"/>
    <n v="0"/>
    <n v="0"/>
    <n v="10.635646032405484"/>
    <x v="1"/>
  </r>
  <r>
    <s v="P1023"/>
    <s v="Nike Kurta 335"/>
    <s v="Nike"/>
    <x v="4"/>
    <n v="1306"/>
    <n v="1194"/>
    <n v="3.5"/>
    <n v="357"/>
    <s v="M"/>
    <m/>
    <m/>
    <m/>
    <n v="0"/>
    <n v="0"/>
    <n v="0"/>
    <n v="0"/>
    <n v="0"/>
    <n v="8.5758039816232774"/>
    <x v="2"/>
  </r>
  <r>
    <s v="P1052"/>
    <s v="H&amp;M Kurta 357"/>
    <s v="H&amp;M"/>
    <x v="4"/>
    <n v="3645"/>
    <n v="2583"/>
    <n v="3.5"/>
    <n v="161"/>
    <s v="S"/>
    <m/>
    <m/>
    <m/>
    <n v="1"/>
    <n v="0"/>
    <n v="0"/>
    <n v="0"/>
    <n v="0"/>
    <n v="29.1358024691358"/>
    <x v="1"/>
  </r>
  <r>
    <s v="P1081"/>
    <s v="UCB Shirt 306"/>
    <s v="UCB"/>
    <x v="0"/>
    <n v="2348"/>
    <n v="1228"/>
    <n v="3.5"/>
    <n v="940"/>
    <s v="L"/>
    <s v=" XL"/>
    <s v=" M"/>
    <s v=" S"/>
    <n v="1"/>
    <n v="0"/>
    <n v="0"/>
    <n v="1"/>
    <n v="0"/>
    <n v="47.700170357751276"/>
    <x v="2"/>
  </r>
  <r>
    <s v="P1015"/>
    <s v="Zara Kurta 260"/>
    <s v="Zara"/>
    <x v="4"/>
    <n v="2129"/>
    <n v="1923"/>
    <n v="3.4"/>
    <n v="175"/>
    <s v="XXL"/>
    <m/>
    <m/>
    <m/>
    <n v="0"/>
    <n v="0"/>
    <n v="0"/>
    <n v="0"/>
    <n v="0"/>
    <n v="9.6759041803663699"/>
    <x v="1"/>
  </r>
  <r>
    <s v="P1092"/>
    <s v="Roadster Jacket 28"/>
    <s v="Roadster"/>
    <x v="5"/>
    <n v="2036"/>
    <n v="1456"/>
    <n v="3.4"/>
    <n v="784"/>
    <s v="XL"/>
    <s v=" S"/>
    <s v=" XXL"/>
    <s v=" M"/>
    <n v="1"/>
    <n v="0"/>
    <n v="0"/>
    <n v="1"/>
    <n v="0"/>
    <n v="28.487229862475445"/>
    <x v="2"/>
  </r>
  <r>
    <s v="P1046"/>
    <s v="Adidas Kurta 472"/>
    <s v="Adidas"/>
    <x v="4"/>
    <n v="3204"/>
    <n v="1878"/>
    <n v="3.3"/>
    <n v="878"/>
    <s v="L"/>
    <m/>
    <m/>
    <m/>
    <n v="0"/>
    <n v="0"/>
    <n v="0"/>
    <n v="0"/>
    <n v="0"/>
    <n v="41.385767790262172"/>
    <x v="1"/>
  </r>
  <r>
    <s v="P1071"/>
    <s v="Roadster Jeans 385"/>
    <s v="Roadster"/>
    <x v="3"/>
    <n v="4306"/>
    <n v="2704"/>
    <n v="3.3"/>
    <n v="516"/>
    <s v="M"/>
    <s v=" XL"/>
    <s v=" S"/>
    <m/>
    <n v="1"/>
    <n v="0"/>
    <n v="0"/>
    <n v="1"/>
    <n v="0"/>
    <n v="37.203901532745007"/>
    <x v="1"/>
  </r>
  <r>
    <s v="P1099"/>
    <s v="UCB Jeans 439"/>
    <s v="UCB"/>
    <x v="3"/>
    <n v="3865"/>
    <n v="3726"/>
    <n v="3.3"/>
    <n v="494"/>
    <s v="XL"/>
    <s v=" M"/>
    <s v=" XXL"/>
    <s v=" S"/>
    <n v="1"/>
    <n v="0"/>
    <n v="0"/>
    <n v="1"/>
    <n v="0"/>
    <n v="3.5963777490297542"/>
    <x v="1"/>
  </r>
  <r>
    <s v="P1004"/>
    <s v="UCB T-Shirt 184"/>
    <s v="UCB"/>
    <x v="2"/>
    <n v="3317"/>
    <n v="2031"/>
    <n v="3.2"/>
    <n v="54"/>
    <s v="XXL"/>
    <s v=" S"/>
    <s v=" M"/>
    <s v=" XL"/>
    <n v="1"/>
    <n v="0"/>
    <n v="0"/>
    <n v="1"/>
    <n v="0"/>
    <n v="38.769972867048537"/>
    <x v="1"/>
  </r>
  <r>
    <s v="P1032"/>
    <s v="Adidas T-Shirt 276"/>
    <s v="Adidas"/>
    <x v="2"/>
    <n v="2246"/>
    <n v="1160"/>
    <n v="3.2"/>
    <n v="965"/>
    <s v="S"/>
    <s v=" M"/>
    <s v=" XL"/>
    <m/>
    <n v="1"/>
    <n v="0"/>
    <n v="0"/>
    <n v="1"/>
    <n v="0"/>
    <n v="48.352626892252893"/>
    <x v="2"/>
  </r>
  <r>
    <s v="P1042"/>
    <s v="Nike Kurta 99"/>
    <s v="Nike"/>
    <x v="4"/>
    <n v="3764"/>
    <n v="3042"/>
    <n v="3.2"/>
    <n v="81"/>
    <s v="L"/>
    <s v=" XL"/>
    <s v=" XXL"/>
    <m/>
    <n v="0"/>
    <n v="0"/>
    <n v="0"/>
    <n v="1"/>
    <n v="0"/>
    <n v="19.181721572794899"/>
    <x v="1"/>
  </r>
  <r>
    <s v="P1000"/>
    <s v="Adidas T-Shirt 380"/>
    <s v="Adidas"/>
    <x v="2"/>
    <n v="2753"/>
    <n v="2202"/>
    <n v="3.1"/>
    <n v="764"/>
    <s v="XXL"/>
    <m/>
    <m/>
    <m/>
    <n v="0"/>
    <n v="0"/>
    <n v="0"/>
    <n v="0"/>
    <n v="0"/>
    <n v="20.01452960406829"/>
    <x v="1"/>
  </r>
  <r>
    <s v="P1002"/>
    <s v="H&amp;M Kurta 333"/>
    <s v="H&amp;M"/>
    <x v="4"/>
    <n v="4964"/>
    <n v="3196"/>
    <n v="3.1"/>
    <n v="613"/>
    <s v="S"/>
    <s v=" M"/>
    <s v=" L"/>
    <m/>
    <n v="1"/>
    <n v="0"/>
    <n v="0"/>
    <n v="0"/>
    <n v="0"/>
    <n v="35.61643835616438"/>
    <x v="1"/>
  </r>
  <r>
    <s v="P1055"/>
    <s v="Puma Kurta 442"/>
    <s v="Puma"/>
    <x v="4"/>
    <n v="4388"/>
    <n v="2495"/>
    <n v="3.1"/>
    <n v="263"/>
    <s v="XXL"/>
    <s v=" XL"/>
    <s v=" L"/>
    <m/>
    <n v="0"/>
    <n v="0"/>
    <n v="0"/>
    <n v="1"/>
    <n v="0"/>
    <n v="43.140382862351871"/>
    <x v="1"/>
  </r>
  <r>
    <s v="P1056"/>
    <s v="H&amp;M Shoes 226"/>
    <s v="H&amp;M"/>
    <x v="1"/>
    <n v="1134"/>
    <n v="792"/>
    <n v="3.1"/>
    <n v="353"/>
    <s v="XXL"/>
    <s v=" S"/>
    <s v=" XL"/>
    <m/>
    <n v="1"/>
    <n v="0"/>
    <n v="0"/>
    <n v="1"/>
    <n v="0"/>
    <n v="30.158730158730158"/>
    <x v="0"/>
  </r>
  <r>
    <s v="P1075"/>
    <s v="Levi's Kurta 233"/>
    <s v="Levi's"/>
    <x v="4"/>
    <n v="2719"/>
    <n v="2042"/>
    <n v="3.1"/>
    <n v="133"/>
    <s v="L"/>
    <s v=" S"/>
    <m/>
    <m/>
    <n v="1"/>
    <n v="0"/>
    <n v="0"/>
    <n v="0"/>
    <n v="0"/>
    <n v="24.898859874954027"/>
    <x v="1"/>
  </r>
  <r>
    <s v="P1005"/>
    <s v="Zara Kurta 317"/>
    <s v="Zara"/>
    <x v="4"/>
    <n v="3462"/>
    <n v="2230"/>
    <n v="3"/>
    <n v="81"/>
    <s v="M"/>
    <m/>
    <m/>
    <m/>
    <n v="0"/>
    <n v="0"/>
    <n v="0"/>
    <n v="0"/>
    <n v="0"/>
    <n v="35.586366262276144"/>
    <x v="1"/>
  </r>
  <r>
    <s v="P1009"/>
    <s v="Nike Shoes 206"/>
    <s v="Nike"/>
    <x v="1"/>
    <n v="2693"/>
    <n v="2508"/>
    <n v="3"/>
    <n v="975"/>
    <s v="M"/>
    <s v=" XL"/>
    <s v=" XXL"/>
    <m/>
    <n v="0"/>
    <n v="0"/>
    <n v="0"/>
    <n v="1"/>
    <n v="0"/>
    <n v="6.8696620868919425"/>
    <x v="1"/>
  </r>
  <r>
    <s v="P1041"/>
    <s v="UCB T-Shirt 440"/>
    <s v="UCB"/>
    <x v="2"/>
    <n v="4355"/>
    <n v="3394"/>
    <n v="3"/>
    <n v="950"/>
    <s v="L"/>
    <s v=" XXL"/>
    <s v=" S"/>
    <s v=" XL"/>
    <n v="1"/>
    <n v="0"/>
    <n v="0"/>
    <n v="1"/>
    <n v="0"/>
    <n v="22.066590126291619"/>
    <x v="1"/>
  </r>
  <r>
    <s v="P1057"/>
    <s v="Puma Jeans 197"/>
    <s v="Puma"/>
    <x v="3"/>
    <n v="1751"/>
    <n v="978"/>
    <n v="3"/>
    <n v="434"/>
    <s v="L"/>
    <s v=" XL"/>
    <s v=" M"/>
    <s v=" S"/>
    <n v="1"/>
    <n v="0"/>
    <n v="0"/>
    <n v="1"/>
    <n v="0"/>
    <n v="44.146202170188467"/>
    <x v="0"/>
  </r>
  <r>
    <s v="P1079"/>
    <s v="Zara Jacket 246"/>
    <s v="Zara"/>
    <x v="5"/>
    <n v="4108"/>
    <n v="3361"/>
    <n v="3"/>
    <n v="62"/>
    <s v="XL"/>
    <s v=" S"/>
    <s v=" XXL"/>
    <m/>
    <n v="1"/>
    <n v="0"/>
    <n v="0"/>
    <n v="1"/>
    <n v="0"/>
    <n v="18.184031158714703"/>
    <x v="1"/>
  </r>
  <r>
    <s v="P1096"/>
    <s v="H&amp;M Jacket 283"/>
    <s v="H&amp;M"/>
    <x v="5"/>
    <n v="1684"/>
    <n v="1242"/>
    <n v="3"/>
    <n v="623"/>
    <s v="S"/>
    <s v=" L"/>
    <m/>
    <m/>
    <n v="1"/>
    <n v="0"/>
    <n v="0"/>
    <n v="0"/>
    <n v="0"/>
    <n v="26.247030878859857"/>
    <x v="2"/>
  </r>
  <r>
    <s v="P1026"/>
    <s v="Roadster Jacket 110"/>
    <s v="Roadster"/>
    <x v="5"/>
    <n v="3785"/>
    <n v="3615"/>
    <n v="2.9"/>
    <n v="12"/>
    <s v="L"/>
    <s v=" XL"/>
    <s v=" M"/>
    <s v=" XXL"/>
    <m/>
    <m/>
    <m/>
    <m/>
    <m/>
    <n v="4.4914134742404226"/>
    <x v="4"/>
  </r>
  <r>
    <s v="P1065"/>
    <s v="H&amp;M Jacket 359"/>
    <s v="H&amp;M"/>
    <x v="5"/>
    <n v="2599"/>
    <n v="1794"/>
    <n v="2.9"/>
    <n v="631"/>
    <s v="M"/>
    <m/>
    <m/>
    <m/>
    <n v="0"/>
    <n v="0"/>
    <n v="0"/>
    <n v="0"/>
    <n v="0"/>
    <n v="30.973451327433626"/>
    <x v="1"/>
  </r>
  <r>
    <s v="P1080"/>
    <s v="UCB Jacket 38"/>
    <s v="UCB"/>
    <x v="5"/>
    <n v="939"/>
    <n v="812"/>
    <n v="2.9"/>
    <n v="586"/>
    <s v="S"/>
    <s v=" M"/>
    <s v=" XXL"/>
    <m/>
    <n v="1"/>
    <n v="0"/>
    <n v="0"/>
    <n v="0"/>
    <n v="0"/>
    <n v="13.525026624068156"/>
    <x v="0"/>
  </r>
  <r>
    <s v="P1019"/>
    <s v="Levi's Jacket 461"/>
    <s v="Levi's"/>
    <x v="5"/>
    <n v="4739"/>
    <n v="2840"/>
    <n v="2.8"/>
    <n v="240"/>
    <s v="L"/>
    <m/>
    <m/>
    <m/>
    <n v="0"/>
    <n v="0"/>
    <n v="0"/>
    <n v="0"/>
    <n v="0"/>
    <n v="40.071745093901669"/>
    <x v="1"/>
  </r>
  <r>
    <s v="P1034"/>
    <s v="Zara Kurta 54"/>
    <s v="Zara"/>
    <x v="4"/>
    <n v="1600"/>
    <n v="1280"/>
    <n v="2.8"/>
    <n v="119"/>
    <s v="L"/>
    <s v=" XXL"/>
    <m/>
    <m/>
    <n v="0"/>
    <n v="0"/>
    <n v="0"/>
    <n v="0"/>
    <n v="0"/>
    <n v="20"/>
    <x v="2"/>
  </r>
  <r>
    <s v="P1038"/>
    <s v="Levi's Shirt 283"/>
    <s v="Levi's"/>
    <x v="0"/>
    <n v="1713"/>
    <n v="1223"/>
    <n v="2.8"/>
    <n v="325"/>
    <s v="S"/>
    <s v=" L"/>
    <s v=" XXL"/>
    <m/>
    <n v="1"/>
    <n v="0"/>
    <n v="0"/>
    <n v="0"/>
    <n v="0"/>
    <n v="28.604786923525978"/>
    <x v="2"/>
  </r>
  <r>
    <s v="P1064"/>
    <s v="H&amp;M T-Shirt 319"/>
    <s v="H&amp;M"/>
    <x v="2"/>
    <n v="1748"/>
    <n v="1454"/>
    <n v="2.8"/>
    <n v="695"/>
    <s v="XXL"/>
    <m/>
    <m/>
    <m/>
    <n v="0"/>
    <n v="0"/>
    <n v="0"/>
    <n v="0"/>
    <n v="0"/>
    <n v="16.819221967963387"/>
    <x v="2"/>
  </r>
  <r>
    <s v="P1086"/>
    <s v="Zara Shirt 384"/>
    <s v="Zara"/>
    <x v="0"/>
    <n v="2864"/>
    <n v="1915"/>
    <n v="2.8"/>
    <n v="715"/>
    <s v="XL"/>
    <s v=" L"/>
    <s v=" XXL"/>
    <m/>
    <n v="0"/>
    <n v="0"/>
    <n v="0"/>
    <n v="1"/>
    <n v="0"/>
    <n v="33.135474860335194"/>
    <x v="1"/>
  </r>
  <r>
    <s v="P1001"/>
    <s v="Adidas Shirt 217"/>
    <s v="Adidas"/>
    <x v="0"/>
    <n v="760"/>
    <n v="695"/>
    <n v="2.7"/>
    <n v="248"/>
    <s v="XXL"/>
    <m/>
    <m/>
    <m/>
    <n v="0"/>
    <n v="0"/>
    <n v="0"/>
    <n v="0"/>
    <n v="0"/>
    <n v="8.5526315789473681"/>
    <x v="0"/>
  </r>
  <r>
    <s v="P1012"/>
    <s v="Puma Kurta 82"/>
    <s v="Puma"/>
    <x v="4"/>
    <n v="3958"/>
    <n v="2687"/>
    <n v="2.7"/>
    <n v="400"/>
    <s v="XXL"/>
    <s v=" L"/>
    <s v=" XL"/>
    <s v=" S"/>
    <n v="1"/>
    <n v="0"/>
    <n v="0"/>
    <n v="1"/>
    <n v="0"/>
    <n v="32.112177867609901"/>
    <x v="1"/>
  </r>
  <r>
    <s v="P1022"/>
    <s v="H&amp;M Jacket 414"/>
    <s v="H&amp;M"/>
    <x v="5"/>
    <n v="3834"/>
    <n v="3395"/>
    <n v="2.7"/>
    <n v="684"/>
    <s v="L"/>
    <s v=" XL"/>
    <s v=" M"/>
    <s v=" XXL"/>
    <n v="0"/>
    <n v="0"/>
    <n v="0"/>
    <n v="1"/>
    <n v="0"/>
    <n v="11.45018257694314"/>
    <x v="1"/>
  </r>
  <r>
    <s v="P1030"/>
    <s v="H&amp;M Shirt 305"/>
    <s v="H&amp;M"/>
    <x v="0"/>
    <n v="825"/>
    <n v="458"/>
    <n v="2.7"/>
    <n v="683"/>
    <s v="L"/>
    <s v=" M"/>
    <s v=" XXL"/>
    <m/>
    <n v="0"/>
    <n v="0"/>
    <n v="0"/>
    <n v="0"/>
    <n v="0"/>
    <n v="44.484848484848484"/>
    <x v="3"/>
  </r>
  <r>
    <s v="P1051"/>
    <s v="Zara Jeans 413"/>
    <s v="Zara"/>
    <x v="3"/>
    <n v="2131"/>
    <n v="1931"/>
    <n v="2.6"/>
    <n v="260"/>
    <s v="XXL"/>
    <s v=" S"/>
    <s v=" M"/>
    <s v=" L"/>
    <n v="1"/>
    <n v="0"/>
    <n v="0"/>
    <n v="0"/>
    <n v="0"/>
    <n v="9.3852651337400275"/>
    <x v="1"/>
  </r>
  <r>
    <s v="P1053"/>
    <s v="UCB Jeans 91"/>
    <s v="UCB"/>
    <x v="3"/>
    <n v="4743"/>
    <n v="2791"/>
    <n v="2.6"/>
    <n v="265"/>
    <s v="XL"/>
    <m/>
    <m/>
    <m/>
    <n v="0"/>
    <n v="0"/>
    <n v="0"/>
    <n v="1"/>
    <n v="0"/>
    <n v="41.155386885937176"/>
    <x v="1"/>
  </r>
  <r>
    <s v="P1061"/>
    <s v="UCB Jeans 444"/>
    <s v="UCB"/>
    <x v="3"/>
    <n v="4282"/>
    <n v="3488"/>
    <n v="2.6"/>
    <n v="398"/>
    <s v="M"/>
    <s v=" XL"/>
    <s v=" XXL"/>
    <m/>
    <n v="0"/>
    <n v="0"/>
    <n v="0"/>
    <n v="1"/>
    <n v="0"/>
    <n v="18.542737038766933"/>
    <x v="1"/>
  </r>
  <r>
    <s v="P1088"/>
    <s v="Nike Kurta 421"/>
    <s v="Nike"/>
    <x v="4"/>
    <n v="2707"/>
    <n v="1477"/>
    <n v="2.6"/>
    <n v="784"/>
    <s v="XL"/>
    <s v=" XXL"/>
    <m/>
    <m/>
    <n v="0"/>
    <n v="0"/>
    <n v="0"/>
    <n v="1"/>
    <n v="0"/>
    <n v="45.437753971185813"/>
    <x v="2"/>
  </r>
  <r>
    <s v="P1093"/>
    <s v="Puma Shoes 225"/>
    <s v="Puma"/>
    <x v="1"/>
    <n v="4470"/>
    <n v="3923"/>
    <n v="2.6"/>
    <n v="655"/>
    <s v="M"/>
    <s v=" L"/>
    <m/>
    <m/>
    <n v="0"/>
    <n v="0"/>
    <n v="0"/>
    <n v="0"/>
    <n v="0"/>
    <n v="12.237136465324385"/>
    <x v="1"/>
  </r>
  <r>
    <s v="P1020"/>
    <s v="Nike Shirt 284"/>
    <s v="Nike"/>
    <x v="0"/>
    <n v="2385"/>
    <n v="1884"/>
    <n v="2.5"/>
    <n v="734"/>
    <s v="M"/>
    <m/>
    <m/>
    <m/>
    <n v="0"/>
    <n v="0"/>
    <n v="0"/>
    <n v="0"/>
    <n v="0"/>
    <n v="21.006289308176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6" applyNumberFormats="0" applyBorderFormats="0" applyFontFormats="0" applyPatternFormats="0" applyAlignmentFormats="0" applyWidthHeightFormats="1" dataCaption="Values" updatedVersion="4" minRefreshableVersion="3" useAutoFormatting="1" rowGrandTotals="0" itemPrintTitles="1" createdVersion="4" indent="0" outline="1" outlineData="1" multipleFieldFilters="0" chartFormat="1">
  <location ref="U52:V57" firstHeaderRow="1" firstDataRow="1" firstDataCol="1"/>
  <pivotFields count="19">
    <pivotField showAll="0"/>
    <pivotField showAll="0"/>
    <pivotField showAll="0"/>
    <pivotField showAll="0"/>
    <pivotField numFmtId="2" showAll="0"/>
    <pivotField numFmtId="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 sortType="ascending">
      <items count="6">
        <item x="3"/>
        <item x="2"/>
        <item x="1"/>
        <item x="0"/>
        <item x="4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Rating" fld="6" subtotal="average" baseField="0" baseItem="969623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6" applyNumberFormats="0" applyBorderFormats="0" applyFontFormats="0" applyPatternFormats="0" applyAlignmentFormats="0" applyWidthHeightFormats="1" dataCaption="Values" updatedVersion="4" minRefreshableVersion="3" useAutoFormatting="1" rowGrandTotals="0" itemPrintTitles="1" createdVersion="4" indent="0" outline="1" outlineData="1" multipleFieldFilters="0" chartFormat="2">
  <location ref="V36:W42" firstHeaderRow="1" firstDataRow="1" firstDataCol="1"/>
  <pivotFields count="19">
    <pivotField showAll="0"/>
    <pivotField showAll="0"/>
    <pivotField showAll="0"/>
    <pivotField axis="axisRow" showAll="0">
      <items count="7">
        <item x="5"/>
        <item x="3"/>
        <item x="4"/>
        <item x="0"/>
        <item x="1"/>
        <item x="2"/>
        <item t="default"/>
      </items>
    </pivotField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Discount%" fld="17" subtotal="average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rowGrandTotals="0" itemPrintTitles="1" createdVersion="4" indent="0" outline="1" outlineData="1" multipleFieldFilters="0">
  <location ref="A3:B9" firstHeaderRow="1" firstDataRow="1" firstDataCol="1"/>
  <pivotFields count="10">
    <pivotField showAll="0"/>
    <pivotField showAll="0"/>
    <pivotField showAll="0"/>
    <pivotField axis="axisRow" showAll="0">
      <items count="7">
        <item x="5"/>
        <item x="3"/>
        <item x="4"/>
        <item x="0"/>
        <item x="1"/>
        <item x="2"/>
        <item t="default"/>
      </items>
    </pivotField>
    <pivotField numFmtId="2" showAll="0"/>
    <pivotField numFmtId="2" showAll="0"/>
    <pivotField dataField="1" showAll="0"/>
    <pivotField showAll="0"/>
    <pivotField showAll="0"/>
    <pivotField numFmtId="2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Rating" fld="6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opLeftCell="A38" workbookViewId="0">
      <selection activeCell="L87" sqref="L87"/>
    </sheetView>
  </sheetViews>
  <sheetFormatPr defaultRowHeight="15" x14ac:dyDescent="0.25"/>
  <cols>
    <col min="1" max="1" width="11.28515625" customWidth="1"/>
    <col min="2" max="2" width="13.42578125" customWidth="1"/>
    <col min="5" max="5" width="9.140625" style="3"/>
    <col min="6" max="6" width="12.140625" style="3" customWidth="1"/>
    <col min="8" max="8" width="17.7109375" customWidth="1"/>
    <col min="9" max="9" width="15.140625" customWidth="1"/>
    <col min="10" max="10" width="10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4" t="s">
        <v>281</v>
      </c>
    </row>
    <row r="2" spans="1:10" x14ac:dyDescent="0.25">
      <c r="A2" t="s">
        <v>9</v>
      </c>
      <c r="B2" t="s">
        <v>109</v>
      </c>
      <c r="C2" t="s">
        <v>209</v>
      </c>
      <c r="D2" t="s">
        <v>217</v>
      </c>
      <c r="E2" s="3">
        <v>2753</v>
      </c>
      <c r="F2" s="3">
        <v>2202</v>
      </c>
      <c r="G2">
        <v>3.1</v>
      </c>
      <c r="H2">
        <v>764</v>
      </c>
      <c r="I2" t="s">
        <v>223</v>
      </c>
      <c r="J2" s="3">
        <f>((E2-F2)/E2)*100</f>
        <v>20.01452960406829</v>
      </c>
    </row>
    <row r="3" spans="1:10" x14ac:dyDescent="0.25">
      <c r="A3" t="s">
        <v>10</v>
      </c>
      <c r="B3" t="s">
        <v>110</v>
      </c>
      <c r="C3" t="s">
        <v>209</v>
      </c>
      <c r="D3" t="s">
        <v>218</v>
      </c>
      <c r="E3" s="3">
        <v>760</v>
      </c>
      <c r="F3" s="3">
        <v>695</v>
      </c>
      <c r="G3">
        <v>2.7</v>
      </c>
      <c r="H3">
        <v>248</v>
      </c>
      <c r="I3" t="s">
        <v>223</v>
      </c>
      <c r="J3" s="3">
        <f t="shared" ref="J3:J66" si="0">((E3-F3)/E3)*100</f>
        <v>8.5526315789473681</v>
      </c>
    </row>
    <row r="4" spans="1:10" x14ac:dyDescent="0.25">
      <c r="A4" t="s">
        <v>11</v>
      </c>
      <c r="B4" t="s">
        <v>111</v>
      </c>
      <c r="C4" t="s">
        <v>210</v>
      </c>
      <c r="D4" t="s">
        <v>219</v>
      </c>
      <c r="E4" s="3">
        <v>4964</v>
      </c>
      <c r="F4" s="3">
        <v>3196</v>
      </c>
      <c r="G4">
        <v>3.1</v>
      </c>
      <c r="H4">
        <v>613</v>
      </c>
      <c r="I4" t="s">
        <v>224</v>
      </c>
      <c r="J4" s="3">
        <f t="shared" si="0"/>
        <v>35.61643835616438</v>
      </c>
    </row>
    <row r="5" spans="1:10" x14ac:dyDescent="0.25">
      <c r="A5" t="s">
        <v>12</v>
      </c>
      <c r="B5" t="s">
        <v>112</v>
      </c>
      <c r="C5" t="s">
        <v>211</v>
      </c>
      <c r="D5" t="s">
        <v>220</v>
      </c>
      <c r="E5" s="3">
        <v>1773</v>
      </c>
      <c r="F5" s="3">
        <v>1503</v>
      </c>
      <c r="G5">
        <v>4.9000000000000004</v>
      </c>
      <c r="H5">
        <v>354</v>
      </c>
      <c r="I5" t="s">
        <v>225</v>
      </c>
      <c r="J5" s="3">
        <f t="shared" si="0"/>
        <v>15.228426395939088</v>
      </c>
    </row>
    <row r="6" spans="1:10" x14ac:dyDescent="0.25">
      <c r="A6" t="s">
        <v>13</v>
      </c>
      <c r="B6" t="s">
        <v>113</v>
      </c>
      <c r="C6" t="s">
        <v>211</v>
      </c>
      <c r="D6" t="s">
        <v>217</v>
      </c>
      <c r="E6" s="3">
        <v>3317</v>
      </c>
      <c r="F6" s="3">
        <v>2031</v>
      </c>
      <c r="G6">
        <v>3.2</v>
      </c>
      <c r="H6">
        <v>54</v>
      </c>
      <c r="I6" t="s">
        <v>226</v>
      </c>
      <c r="J6" s="3">
        <f t="shared" si="0"/>
        <v>38.769972867048537</v>
      </c>
    </row>
    <row r="7" spans="1:10" x14ac:dyDescent="0.25">
      <c r="A7" t="s">
        <v>14</v>
      </c>
      <c r="B7" t="s">
        <v>114</v>
      </c>
      <c r="C7" t="s">
        <v>212</v>
      </c>
      <c r="D7" t="s">
        <v>219</v>
      </c>
      <c r="E7" s="3">
        <v>3462</v>
      </c>
      <c r="F7" s="3">
        <v>2230</v>
      </c>
      <c r="G7">
        <v>3</v>
      </c>
      <c r="H7">
        <v>81</v>
      </c>
      <c r="I7" t="s">
        <v>227</v>
      </c>
      <c r="J7" s="3">
        <f t="shared" si="0"/>
        <v>35.586366262276144</v>
      </c>
    </row>
    <row r="8" spans="1:10" x14ac:dyDescent="0.25">
      <c r="A8" t="s">
        <v>15</v>
      </c>
      <c r="B8" t="s">
        <v>115</v>
      </c>
      <c r="C8" t="s">
        <v>212</v>
      </c>
      <c r="D8" t="s">
        <v>217</v>
      </c>
      <c r="E8" s="3">
        <v>2407</v>
      </c>
      <c r="F8" s="3">
        <v>2151</v>
      </c>
      <c r="G8">
        <v>3.5</v>
      </c>
      <c r="H8">
        <v>474</v>
      </c>
      <c r="I8" t="s">
        <v>228</v>
      </c>
      <c r="J8" s="3">
        <f t="shared" si="0"/>
        <v>10.635646032405484</v>
      </c>
    </row>
    <row r="9" spans="1:10" x14ac:dyDescent="0.25">
      <c r="A9" t="s">
        <v>16</v>
      </c>
      <c r="B9" t="s">
        <v>116</v>
      </c>
      <c r="C9" t="s">
        <v>210</v>
      </c>
      <c r="D9" t="s">
        <v>219</v>
      </c>
      <c r="E9" s="3">
        <v>1084</v>
      </c>
      <c r="F9" s="3">
        <v>723</v>
      </c>
      <c r="G9">
        <v>4.0999999999999996</v>
      </c>
      <c r="H9">
        <v>556</v>
      </c>
      <c r="I9" t="s">
        <v>229</v>
      </c>
      <c r="J9" s="3">
        <f t="shared" si="0"/>
        <v>33.302583025830259</v>
      </c>
    </row>
    <row r="10" spans="1:10" x14ac:dyDescent="0.25">
      <c r="A10" t="s">
        <v>17</v>
      </c>
      <c r="B10" t="s">
        <v>117</v>
      </c>
      <c r="C10" t="s">
        <v>211</v>
      </c>
      <c r="D10" t="s">
        <v>220</v>
      </c>
      <c r="E10" s="3">
        <v>2299</v>
      </c>
      <c r="F10" s="3">
        <v>1585</v>
      </c>
      <c r="G10">
        <v>4.5999999999999996</v>
      </c>
      <c r="H10">
        <v>804</v>
      </c>
      <c r="I10" t="s">
        <v>227</v>
      </c>
      <c r="J10" s="3">
        <f t="shared" si="0"/>
        <v>31.056981296215746</v>
      </c>
    </row>
    <row r="11" spans="1:10" x14ac:dyDescent="0.25">
      <c r="A11" t="s">
        <v>18</v>
      </c>
      <c r="B11" t="s">
        <v>118</v>
      </c>
      <c r="C11" t="s">
        <v>213</v>
      </c>
      <c r="D11" t="s">
        <v>220</v>
      </c>
      <c r="E11" s="3">
        <v>2693</v>
      </c>
      <c r="F11" s="3">
        <v>2508</v>
      </c>
      <c r="G11">
        <v>3</v>
      </c>
      <c r="H11">
        <v>975</v>
      </c>
      <c r="I11" t="s">
        <v>230</v>
      </c>
      <c r="J11" s="3">
        <f t="shared" si="0"/>
        <v>6.8696620868919425</v>
      </c>
    </row>
    <row r="12" spans="1:10" x14ac:dyDescent="0.25">
      <c r="A12" t="s">
        <v>19</v>
      </c>
      <c r="B12" t="s">
        <v>119</v>
      </c>
      <c r="C12" t="s">
        <v>214</v>
      </c>
      <c r="D12" t="s">
        <v>221</v>
      </c>
      <c r="E12" s="3">
        <v>1643</v>
      </c>
      <c r="F12" s="3">
        <v>1341</v>
      </c>
      <c r="G12">
        <v>4.4000000000000004</v>
      </c>
      <c r="H12">
        <v>561</v>
      </c>
      <c r="I12" t="s">
        <v>231</v>
      </c>
      <c r="J12" s="3">
        <f t="shared" si="0"/>
        <v>18.381010346926356</v>
      </c>
    </row>
    <row r="13" spans="1:10" x14ac:dyDescent="0.25">
      <c r="A13" t="s">
        <v>20</v>
      </c>
      <c r="B13" t="s">
        <v>120</v>
      </c>
      <c r="C13" t="s">
        <v>211</v>
      </c>
      <c r="D13" t="s">
        <v>220</v>
      </c>
      <c r="E13" s="3">
        <v>1633</v>
      </c>
      <c r="F13" s="3">
        <v>1062</v>
      </c>
      <c r="G13">
        <v>3.7</v>
      </c>
      <c r="H13">
        <v>783</v>
      </c>
      <c r="I13" t="s">
        <v>225</v>
      </c>
      <c r="J13" s="3">
        <f t="shared" si="0"/>
        <v>34.966319657072873</v>
      </c>
    </row>
    <row r="14" spans="1:10" x14ac:dyDescent="0.25">
      <c r="A14" t="s">
        <v>21</v>
      </c>
      <c r="B14" t="s">
        <v>121</v>
      </c>
      <c r="C14" t="s">
        <v>215</v>
      </c>
      <c r="D14" t="s">
        <v>219</v>
      </c>
      <c r="E14" s="3">
        <v>3958</v>
      </c>
      <c r="F14" s="3">
        <v>2687</v>
      </c>
      <c r="G14">
        <v>2.7</v>
      </c>
      <c r="H14">
        <v>400</v>
      </c>
      <c r="I14" t="s">
        <v>232</v>
      </c>
      <c r="J14" s="3">
        <f t="shared" si="0"/>
        <v>32.112177867609901</v>
      </c>
    </row>
    <row r="15" spans="1:10" x14ac:dyDescent="0.25">
      <c r="A15" t="s">
        <v>22</v>
      </c>
      <c r="B15" t="s">
        <v>122</v>
      </c>
      <c r="C15" t="s">
        <v>209</v>
      </c>
      <c r="D15" t="s">
        <v>219</v>
      </c>
      <c r="E15" s="3">
        <v>4898</v>
      </c>
      <c r="F15" s="3">
        <v>3756</v>
      </c>
      <c r="G15">
        <v>4.4000000000000004</v>
      </c>
      <c r="H15">
        <v>358</v>
      </c>
      <c r="I15" t="s">
        <v>233</v>
      </c>
      <c r="J15" s="3">
        <f t="shared" si="0"/>
        <v>23.315639036341366</v>
      </c>
    </row>
    <row r="16" spans="1:10" x14ac:dyDescent="0.25">
      <c r="A16" t="s">
        <v>23</v>
      </c>
      <c r="B16" t="s">
        <v>123</v>
      </c>
      <c r="C16" t="s">
        <v>211</v>
      </c>
      <c r="D16" t="s">
        <v>221</v>
      </c>
      <c r="E16" s="3">
        <v>526</v>
      </c>
      <c r="F16" s="3">
        <v>292</v>
      </c>
      <c r="G16">
        <v>4.7</v>
      </c>
      <c r="H16">
        <v>279</v>
      </c>
      <c r="I16" t="s">
        <v>234</v>
      </c>
      <c r="J16" s="3">
        <f t="shared" si="0"/>
        <v>44.486692015209123</v>
      </c>
    </row>
    <row r="17" spans="1:10" x14ac:dyDescent="0.25">
      <c r="A17" t="s">
        <v>24</v>
      </c>
      <c r="B17" t="s">
        <v>124</v>
      </c>
      <c r="C17" t="s">
        <v>212</v>
      </c>
      <c r="D17" t="s">
        <v>219</v>
      </c>
      <c r="E17" s="3">
        <v>2129</v>
      </c>
      <c r="F17" s="3">
        <v>1923</v>
      </c>
      <c r="G17">
        <v>3.4</v>
      </c>
      <c r="H17">
        <v>175</v>
      </c>
      <c r="I17" t="s">
        <v>223</v>
      </c>
      <c r="J17" s="3">
        <f t="shared" si="0"/>
        <v>9.6759041803663699</v>
      </c>
    </row>
    <row r="18" spans="1:10" x14ac:dyDescent="0.25">
      <c r="A18" t="s">
        <v>25</v>
      </c>
      <c r="B18" t="s">
        <v>125</v>
      </c>
      <c r="C18" t="s">
        <v>216</v>
      </c>
      <c r="D18" t="s">
        <v>222</v>
      </c>
      <c r="E18" s="3">
        <v>1416</v>
      </c>
      <c r="F18" s="3">
        <v>995</v>
      </c>
      <c r="G18">
        <v>4.7</v>
      </c>
      <c r="H18">
        <v>861</v>
      </c>
      <c r="I18" t="s">
        <v>235</v>
      </c>
      <c r="J18" s="3">
        <f t="shared" si="0"/>
        <v>29.731638418079097</v>
      </c>
    </row>
    <row r="19" spans="1:10" x14ac:dyDescent="0.25">
      <c r="A19" t="s">
        <v>26</v>
      </c>
      <c r="B19" t="s">
        <v>126</v>
      </c>
      <c r="C19" t="s">
        <v>209</v>
      </c>
      <c r="D19" t="s">
        <v>217</v>
      </c>
      <c r="E19" s="3">
        <v>4481</v>
      </c>
      <c r="F19" s="3">
        <v>4148</v>
      </c>
      <c r="G19">
        <v>4.9000000000000004</v>
      </c>
      <c r="H19">
        <v>555</v>
      </c>
      <c r="I19" t="s">
        <v>229</v>
      </c>
      <c r="J19" s="3">
        <f t="shared" si="0"/>
        <v>7.4313769247935726</v>
      </c>
    </row>
    <row r="20" spans="1:10" x14ac:dyDescent="0.25">
      <c r="A20" t="s">
        <v>27</v>
      </c>
      <c r="B20" t="s">
        <v>127</v>
      </c>
      <c r="C20" t="s">
        <v>215</v>
      </c>
      <c r="D20" t="s">
        <v>220</v>
      </c>
      <c r="E20" s="3">
        <v>3966</v>
      </c>
      <c r="F20" s="3">
        <v>3483</v>
      </c>
      <c r="G20">
        <v>4.8</v>
      </c>
      <c r="H20">
        <v>783</v>
      </c>
      <c r="I20" t="s">
        <v>236</v>
      </c>
      <c r="J20" s="3">
        <f t="shared" si="0"/>
        <v>12.178517397881997</v>
      </c>
    </row>
    <row r="21" spans="1:10" x14ac:dyDescent="0.25">
      <c r="A21" t="s">
        <v>28</v>
      </c>
      <c r="B21" t="s">
        <v>128</v>
      </c>
      <c r="C21" t="s">
        <v>216</v>
      </c>
      <c r="D21" t="s">
        <v>222</v>
      </c>
      <c r="E21" s="3">
        <v>4739</v>
      </c>
      <c r="F21" s="3">
        <v>2840</v>
      </c>
      <c r="G21">
        <v>2.8</v>
      </c>
      <c r="H21">
        <v>240</v>
      </c>
      <c r="I21" t="s">
        <v>233</v>
      </c>
      <c r="J21" s="3">
        <f t="shared" si="0"/>
        <v>40.071745093901669</v>
      </c>
    </row>
    <row r="22" spans="1:10" x14ac:dyDescent="0.25">
      <c r="A22" t="s">
        <v>29</v>
      </c>
      <c r="B22" t="s">
        <v>129</v>
      </c>
      <c r="C22" t="s">
        <v>213</v>
      </c>
      <c r="D22" t="s">
        <v>218</v>
      </c>
      <c r="E22" s="3">
        <v>2385</v>
      </c>
      <c r="F22" s="3">
        <v>1884</v>
      </c>
      <c r="G22">
        <v>2.5</v>
      </c>
      <c r="H22">
        <v>734</v>
      </c>
      <c r="I22" t="s">
        <v>227</v>
      </c>
      <c r="J22" s="3">
        <f t="shared" si="0"/>
        <v>21.0062893081761</v>
      </c>
    </row>
    <row r="23" spans="1:10" x14ac:dyDescent="0.25">
      <c r="A23" t="s">
        <v>30</v>
      </c>
      <c r="B23" t="s">
        <v>130</v>
      </c>
      <c r="C23" t="s">
        <v>209</v>
      </c>
      <c r="D23" t="s">
        <v>217</v>
      </c>
      <c r="E23" s="3">
        <v>3206</v>
      </c>
      <c r="F23" s="3">
        <v>3011</v>
      </c>
      <c r="G23">
        <v>3.8</v>
      </c>
      <c r="H23">
        <v>295</v>
      </c>
      <c r="I23" t="s">
        <v>237</v>
      </c>
      <c r="J23" s="3">
        <f t="shared" si="0"/>
        <v>6.0823456019962574</v>
      </c>
    </row>
    <row r="24" spans="1:10" x14ac:dyDescent="0.25">
      <c r="A24" t="s">
        <v>31</v>
      </c>
      <c r="B24" t="s">
        <v>131</v>
      </c>
      <c r="C24" t="s">
        <v>210</v>
      </c>
      <c r="D24" t="s">
        <v>222</v>
      </c>
      <c r="E24" s="3">
        <v>3834</v>
      </c>
      <c r="F24" s="3">
        <v>3395</v>
      </c>
      <c r="G24">
        <v>2.7</v>
      </c>
      <c r="H24">
        <v>684</v>
      </c>
      <c r="I24" t="s">
        <v>238</v>
      </c>
      <c r="J24" s="3">
        <f t="shared" si="0"/>
        <v>11.45018257694314</v>
      </c>
    </row>
    <row r="25" spans="1:10" x14ac:dyDescent="0.25">
      <c r="A25" t="s">
        <v>32</v>
      </c>
      <c r="B25" t="s">
        <v>132</v>
      </c>
      <c r="C25" t="s">
        <v>213</v>
      </c>
      <c r="D25" t="s">
        <v>219</v>
      </c>
      <c r="E25" s="3">
        <v>1306</v>
      </c>
      <c r="F25" s="3">
        <v>1194</v>
      </c>
      <c r="G25">
        <v>3.5</v>
      </c>
      <c r="H25">
        <v>357</v>
      </c>
      <c r="I25" t="s">
        <v>227</v>
      </c>
      <c r="J25" s="3">
        <f t="shared" si="0"/>
        <v>8.5758039816232774</v>
      </c>
    </row>
    <row r="26" spans="1:10" x14ac:dyDescent="0.25">
      <c r="A26" t="s">
        <v>33</v>
      </c>
      <c r="B26" t="s">
        <v>133</v>
      </c>
      <c r="C26" t="s">
        <v>210</v>
      </c>
      <c r="D26" t="s">
        <v>221</v>
      </c>
      <c r="E26" s="3">
        <v>4175</v>
      </c>
      <c r="F26" s="3">
        <v>3838</v>
      </c>
      <c r="G26">
        <v>3.6</v>
      </c>
      <c r="H26">
        <v>295</v>
      </c>
      <c r="I26" t="s">
        <v>239</v>
      </c>
      <c r="J26" s="3">
        <f t="shared" si="0"/>
        <v>8.0718562874251489</v>
      </c>
    </row>
    <row r="27" spans="1:10" x14ac:dyDescent="0.25">
      <c r="A27" t="s">
        <v>34</v>
      </c>
      <c r="B27" t="s">
        <v>134</v>
      </c>
      <c r="C27" t="s">
        <v>213</v>
      </c>
      <c r="D27" t="s">
        <v>219</v>
      </c>
      <c r="E27" s="3">
        <v>620</v>
      </c>
      <c r="F27" s="3">
        <v>523</v>
      </c>
      <c r="G27">
        <v>4.8</v>
      </c>
      <c r="H27">
        <v>879</v>
      </c>
      <c r="I27" t="s">
        <v>229</v>
      </c>
      <c r="J27" s="3">
        <f t="shared" si="0"/>
        <v>15.645161290322582</v>
      </c>
    </row>
    <row r="28" spans="1:10" x14ac:dyDescent="0.25">
      <c r="A28" t="s">
        <v>35</v>
      </c>
      <c r="B28" t="s">
        <v>135</v>
      </c>
      <c r="C28" t="s">
        <v>214</v>
      </c>
      <c r="D28" t="s">
        <v>222</v>
      </c>
      <c r="E28" s="3">
        <v>3785</v>
      </c>
      <c r="F28" s="3">
        <v>3615</v>
      </c>
      <c r="G28">
        <v>2.9</v>
      </c>
      <c r="H28">
        <v>12</v>
      </c>
      <c r="I28" t="s">
        <v>238</v>
      </c>
      <c r="J28" s="3">
        <f t="shared" si="0"/>
        <v>4.4914134742404226</v>
      </c>
    </row>
    <row r="29" spans="1:10" x14ac:dyDescent="0.25">
      <c r="A29" t="s">
        <v>36</v>
      </c>
      <c r="B29" t="s">
        <v>136</v>
      </c>
      <c r="C29" t="s">
        <v>214</v>
      </c>
      <c r="D29" t="s">
        <v>221</v>
      </c>
      <c r="E29" s="3">
        <v>2930</v>
      </c>
      <c r="F29" s="3">
        <v>2435</v>
      </c>
      <c r="G29">
        <v>4.9000000000000004</v>
      </c>
      <c r="H29">
        <v>603</v>
      </c>
      <c r="I29" t="s">
        <v>233</v>
      </c>
      <c r="J29" s="3">
        <f t="shared" si="0"/>
        <v>16.89419795221843</v>
      </c>
    </row>
    <row r="30" spans="1:10" x14ac:dyDescent="0.25">
      <c r="A30" t="s">
        <v>37</v>
      </c>
      <c r="B30" t="s">
        <v>137</v>
      </c>
      <c r="C30" t="s">
        <v>213</v>
      </c>
      <c r="D30" t="s">
        <v>217</v>
      </c>
      <c r="E30" s="3">
        <v>4405</v>
      </c>
      <c r="F30" s="3">
        <v>2296</v>
      </c>
      <c r="G30">
        <v>4.8</v>
      </c>
      <c r="H30">
        <v>553</v>
      </c>
      <c r="I30" t="s">
        <v>240</v>
      </c>
      <c r="J30" s="3">
        <f t="shared" si="0"/>
        <v>47.877412031782072</v>
      </c>
    </row>
    <row r="31" spans="1:10" x14ac:dyDescent="0.25">
      <c r="A31" t="s">
        <v>38</v>
      </c>
      <c r="B31" t="s">
        <v>138</v>
      </c>
      <c r="C31" t="s">
        <v>215</v>
      </c>
      <c r="D31" t="s">
        <v>217</v>
      </c>
      <c r="E31" s="3">
        <v>1056</v>
      </c>
      <c r="F31" s="3">
        <v>661</v>
      </c>
      <c r="G31">
        <v>4.7</v>
      </c>
      <c r="H31">
        <v>423</v>
      </c>
      <c r="I31" t="s">
        <v>223</v>
      </c>
      <c r="J31" s="3">
        <f t="shared" si="0"/>
        <v>37.405303030303031</v>
      </c>
    </row>
    <row r="32" spans="1:10" x14ac:dyDescent="0.25">
      <c r="A32" t="s">
        <v>39</v>
      </c>
      <c r="B32" t="s">
        <v>139</v>
      </c>
      <c r="C32" t="s">
        <v>210</v>
      </c>
      <c r="D32" t="s">
        <v>218</v>
      </c>
      <c r="E32" s="3">
        <v>825</v>
      </c>
      <c r="F32" s="3">
        <v>458</v>
      </c>
      <c r="G32">
        <v>2.7</v>
      </c>
      <c r="H32">
        <v>683</v>
      </c>
      <c r="I32" t="s">
        <v>241</v>
      </c>
      <c r="J32" s="3">
        <f t="shared" si="0"/>
        <v>44.484848484848484</v>
      </c>
    </row>
    <row r="33" spans="1:10" x14ac:dyDescent="0.25">
      <c r="A33" t="s">
        <v>40</v>
      </c>
      <c r="B33" t="s">
        <v>140</v>
      </c>
      <c r="C33" t="s">
        <v>216</v>
      </c>
      <c r="D33" t="s">
        <v>221</v>
      </c>
      <c r="E33" s="3">
        <v>3742</v>
      </c>
      <c r="F33" s="3">
        <v>3424</v>
      </c>
      <c r="G33">
        <v>4.2</v>
      </c>
      <c r="H33">
        <v>317</v>
      </c>
      <c r="I33" t="s">
        <v>242</v>
      </c>
      <c r="J33" s="3">
        <f t="shared" si="0"/>
        <v>8.4981293425975419</v>
      </c>
    </row>
    <row r="34" spans="1:10" x14ac:dyDescent="0.25">
      <c r="A34" t="s">
        <v>41</v>
      </c>
      <c r="B34" t="s">
        <v>141</v>
      </c>
      <c r="C34" t="s">
        <v>209</v>
      </c>
      <c r="D34" t="s">
        <v>217</v>
      </c>
      <c r="E34" s="3">
        <v>2246</v>
      </c>
      <c r="F34" s="3">
        <v>1160</v>
      </c>
      <c r="G34">
        <v>3.2</v>
      </c>
      <c r="H34">
        <v>965</v>
      </c>
      <c r="I34" t="s">
        <v>243</v>
      </c>
      <c r="J34" s="3">
        <f t="shared" si="0"/>
        <v>48.352626892252893</v>
      </c>
    </row>
    <row r="35" spans="1:10" x14ac:dyDescent="0.25">
      <c r="A35" t="s">
        <v>42</v>
      </c>
      <c r="B35" t="s">
        <v>142</v>
      </c>
      <c r="C35" t="s">
        <v>212</v>
      </c>
      <c r="D35" t="s">
        <v>221</v>
      </c>
      <c r="E35" s="3">
        <v>4950</v>
      </c>
      <c r="F35" s="3">
        <v>3661</v>
      </c>
      <c r="G35">
        <v>4</v>
      </c>
      <c r="H35">
        <v>836</v>
      </c>
      <c r="I35" t="s">
        <v>223</v>
      </c>
      <c r="J35" s="3">
        <f t="shared" si="0"/>
        <v>26.040404040404042</v>
      </c>
    </row>
    <row r="36" spans="1:10" x14ac:dyDescent="0.25">
      <c r="A36" t="s">
        <v>43</v>
      </c>
      <c r="B36" t="s">
        <v>143</v>
      </c>
      <c r="C36" t="s">
        <v>212</v>
      </c>
      <c r="D36" t="s">
        <v>219</v>
      </c>
      <c r="E36" s="3">
        <v>1600</v>
      </c>
      <c r="F36" s="3">
        <v>1280</v>
      </c>
      <c r="G36">
        <v>2.8</v>
      </c>
      <c r="H36">
        <v>119</v>
      </c>
      <c r="I36" t="s">
        <v>244</v>
      </c>
      <c r="J36" s="3">
        <f t="shared" si="0"/>
        <v>20</v>
      </c>
    </row>
    <row r="37" spans="1:10" x14ac:dyDescent="0.25">
      <c r="A37" t="s">
        <v>44</v>
      </c>
      <c r="B37" t="s">
        <v>144</v>
      </c>
      <c r="C37" t="s">
        <v>210</v>
      </c>
      <c r="D37" t="s">
        <v>219</v>
      </c>
      <c r="E37" s="3">
        <v>2167</v>
      </c>
      <c r="F37" s="3">
        <v>1577</v>
      </c>
      <c r="G37">
        <v>3.8</v>
      </c>
      <c r="H37">
        <v>267</v>
      </c>
      <c r="I37" t="s">
        <v>225</v>
      </c>
      <c r="J37" s="3">
        <f t="shared" si="0"/>
        <v>27.226580526072912</v>
      </c>
    </row>
    <row r="38" spans="1:10" x14ac:dyDescent="0.25">
      <c r="A38" t="s">
        <v>45</v>
      </c>
      <c r="B38" t="s">
        <v>145</v>
      </c>
      <c r="C38" t="s">
        <v>211</v>
      </c>
      <c r="D38" t="s">
        <v>220</v>
      </c>
      <c r="E38" s="3">
        <v>529</v>
      </c>
      <c r="F38" s="3">
        <v>394</v>
      </c>
      <c r="G38">
        <v>4.4000000000000004</v>
      </c>
      <c r="H38">
        <v>662</v>
      </c>
      <c r="I38" t="s">
        <v>245</v>
      </c>
      <c r="J38" s="3">
        <f t="shared" si="0"/>
        <v>25.519848771266538</v>
      </c>
    </row>
    <row r="39" spans="1:10" x14ac:dyDescent="0.25">
      <c r="A39" t="s">
        <v>46</v>
      </c>
      <c r="B39" t="s">
        <v>146</v>
      </c>
      <c r="C39" t="s">
        <v>211</v>
      </c>
      <c r="D39" t="s">
        <v>218</v>
      </c>
      <c r="E39" s="3">
        <v>1416</v>
      </c>
      <c r="F39" s="3">
        <v>1289</v>
      </c>
      <c r="G39">
        <v>4.9000000000000004</v>
      </c>
      <c r="H39">
        <v>717</v>
      </c>
      <c r="I39" t="s">
        <v>234</v>
      </c>
      <c r="J39" s="3">
        <f t="shared" si="0"/>
        <v>8.9689265536723166</v>
      </c>
    </row>
    <row r="40" spans="1:10" x14ac:dyDescent="0.25">
      <c r="A40" t="s">
        <v>47</v>
      </c>
      <c r="B40" t="s">
        <v>147</v>
      </c>
      <c r="C40" t="s">
        <v>216</v>
      </c>
      <c r="D40" t="s">
        <v>218</v>
      </c>
      <c r="E40" s="3">
        <v>1713</v>
      </c>
      <c r="F40" s="3">
        <v>1223</v>
      </c>
      <c r="G40">
        <v>2.8</v>
      </c>
      <c r="H40">
        <v>325</v>
      </c>
      <c r="I40" t="s">
        <v>246</v>
      </c>
      <c r="J40" s="3">
        <f t="shared" si="0"/>
        <v>28.604786923525978</v>
      </c>
    </row>
    <row r="41" spans="1:10" x14ac:dyDescent="0.25">
      <c r="A41" t="s">
        <v>48</v>
      </c>
      <c r="B41" t="s">
        <v>148</v>
      </c>
      <c r="C41" t="s">
        <v>210</v>
      </c>
      <c r="D41" t="s">
        <v>219</v>
      </c>
      <c r="E41" s="3">
        <v>3397</v>
      </c>
      <c r="F41" s="3">
        <v>1750</v>
      </c>
      <c r="G41">
        <v>3.9</v>
      </c>
      <c r="H41">
        <v>905</v>
      </c>
      <c r="I41" t="s">
        <v>247</v>
      </c>
      <c r="J41" s="3">
        <f t="shared" si="0"/>
        <v>48.483956432146016</v>
      </c>
    </row>
    <row r="42" spans="1:10" x14ac:dyDescent="0.25">
      <c r="A42" t="s">
        <v>49</v>
      </c>
      <c r="B42" t="s">
        <v>149</v>
      </c>
      <c r="C42" t="s">
        <v>215</v>
      </c>
      <c r="D42" t="s">
        <v>222</v>
      </c>
      <c r="E42" s="3">
        <v>1969</v>
      </c>
      <c r="F42" s="3">
        <v>1165</v>
      </c>
      <c r="G42">
        <v>4.8</v>
      </c>
      <c r="H42">
        <v>811</v>
      </c>
      <c r="I42" t="s">
        <v>248</v>
      </c>
      <c r="J42" s="3">
        <f t="shared" si="0"/>
        <v>40.832910106653124</v>
      </c>
    </row>
    <row r="43" spans="1:10" x14ac:dyDescent="0.25">
      <c r="A43" t="s">
        <v>50</v>
      </c>
      <c r="B43" t="s">
        <v>150</v>
      </c>
      <c r="C43" t="s">
        <v>211</v>
      </c>
      <c r="D43" t="s">
        <v>217</v>
      </c>
      <c r="E43" s="3">
        <v>4355</v>
      </c>
      <c r="F43" s="3">
        <v>3394</v>
      </c>
      <c r="G43">
        <v>3</v>
      </c>
      <c r="H43">
        <v>950</v>
      </c>
      <c r="I43" t="s">
        <v>249</v>
      </c>
      <c r="J43" s="3">
        <f t="shared" si="0"/>
        <v>22.066590126291619</v>
      </c>
    </row>
    <row r="44" spans="1:10" x14ac:dyDescent="0.25">
      <c r="A44" t="s">
        <v>51</v>
      </c>
      <c r="B44" t="s">
        <v>151</v>
      </c>
      <c r="C44" t="s">
        <v>213</v>
      </c>
      <c r="D44" t="s">
        <v>219</v>
      </c>
      <c r="E44" s="3">
        <v>3764</v>
      </c>
      <c r="F44" s="3">
        <v>3042</v>
      </c>
      <c r="G44">
        <v>3.2</v>
      </c>
      <c r="H44">
        <v>81</v>
      </c>
      <c r="I44" t="s">
        <v>250</v>
      </c>
      <c r="J44" s="3">
        <f t="shared" si="0"/>
        <v>19.181721572794899</v>
      </c>
    </row>
    <row r="45" spans="1:10" x14ac:dyDescent="0.25">
      <c r="A45" t="s">
        <v>52</v>
      </c>
      <c r="B45" t="s">
        <v>152</v>
      </c>
      <c r="C45" t="s">
        <v>216</v>
      </c>
      <c r="D45" t="s">
        <v>217</v>
      </c>
      <c r="E45" s="3">
        <v>2639</v>
      </c>
      <c r="F45" s="3">
        <v>2224</v>
      </c>
      <c r="G45">
        <v>4</v>
      </c>
      <c r="H45">
        <v>281</v>
      </c>
      <c r="I45" t="s">
        <v>225</v>
      </c>
      <c r="J45" s="3">
        <f t="shared" si="0"/>
        <v>15.72565365668814</v>
      </c>
    </row>
    <row r="46" spans="1:10" x14ac:dyDescent="0.25">
      <c r="A46" t="s">
        <v>53</v>
      </c>
      <c r="B46" t="s">
        <v>153</v>
      </c>
      <c r="C46" t="s">
        <v>211</v>
      </c>
      <c r="D46" t="s">
        <v>220</v>
      </c>
      <c r="E46" s="3">
        <v>3069</v>
      </c>
      <c r="F46" s="3">
        <v>2126</v>
      </c>
      <c r="G46">
        <v>4</v>
      </c>
      <c r="H46">
        <v>533</v>
      </c>
      <c r="I46" t="s">
        <v>251</v>
      </c>
      <c r="J46" s="3">
        <f t="shared" si="0"/>
        <v>30.726621049201697</v>
      </c>
    </row>
    <row r="47" spans="1:10" x14ac:dyDescent="0.25">
      <c r="A47" t="s">
        <v>54</v>
      </c>
      <c r="B47" t="s">
        <v>154</v>
      </c>
      <c r="C47" t="s">
        <v>210</v>
      </c>
      <c r="D47" t="s">
        <v>220</v>
      </c>
      <c r="E47" s="3">
        <v>4072</v>
      </c>
      <c r="F47" s="3">
        <v>4019</v>
      </c>
      <c r="G47">
        <v>3.8</v>
      </c>
      <c r="H47">
        <v>835</v>
      </c>
      <c r="I47" t="s">
        <v>236</v>
      </c>
      <c r="J47" s="3">
        <f t="shared" si="0"/>
        <v>1.3015717092337917</v>
      </c>
    </row>
    <row r="48" spans="1:10" x14ac:dyDescent="0.25">
      <c r="A48" t="s">
        <v>55</v>
      </c>
      <c r="B48" t="s">
        <v>155</v>
      </c>
      <c r="C48" t="s">
        <v>209</v>
      </c>
      <c r="D48" t="s">
        <v>219</v>
      </c>
      <c r="E48" s="3">
        <v>3204</v>
      </c>
      <c r="F48" s="3">
        <v>1878</v>
      </c>
      <c r="G48">
        <v>3.3</v>
      </c>
      <c r="H48">
        <v>878</v>
      </c>
      <c r="I48" t="s">
        <v>233</v>
      </c>
      <c r="J48" s="3">
        <f t="shared" si="0"/>
        <v>41.385767790262172</v>
      </c>
    </row>
    <row r="49" spans="1:10" x14ac:dyDescent="0.25">
      <c r="A49" t="s">
        <v>56</v>
      </c>
      <c r="B49" t="s">
        <v>156</v>
      </c>
      <c r="C49" t="s">
        <v>212</v>
      </c>
      <c r="D49" t="s">
        <v>219</v>
      </c>
      <c r="E49" s="3">
        <v>3172</v>
      </c>
      <c r="F49" s="3">
        <v>2298</v>
      </c>
      <c r="G49">
        <v>4.2</v>
      </c>
      <c r="H49">
        <v>577</v>
      </c>
      <c r="I49" t="s">
        <v>229</v>
      </c>
      <c r="J49" s="3">
        <f t="shared" si="0"/>
        <v>27.553593947036571</v>
      </c>
    </row>
    <row r="50" spans="1:10" x14ac:dyDescent="0.25">
      <c r="A50" t="s">
        <v>57</v>
      </c>
      <c r="B50" t="s">
        <v>157</v>
      </c>
      <c r="C50" t="s">
        <v>211</v>
      </c>
      <c r="D50" t="s">
        <v>219</v>
      </c>
      <c r="E50" s="3">
        <v>1925</v>
      </c>
      <c r="F50" s="3">
        <v>1245</v>
      </c>
      <c r="G50">
        <v>3.9</v>
      </c>
      <c r="H50">
        <v>425</v>
      </c>
      <c r="I50" t="s">
        <v>233</v>
      </c>
      <c r="J50" s="3">
        <f t="shared" si="0"/>
        <v>35.324675324675326</v>
      </c>
    </row>
    <row r="51" spans="1:10" x14ac:dyDescent="0.25">
      <c r="A51" t="s">
        <v>58</v>
      </c>
      <c r="B51" t="s">
        <v>158</v>
      </c>
      <c r="C51" t="s">
        <v>212</v>
      </c>
      <c r="D51" t="s">
        <v>221</v>
      </c>
      <c r="E51" s="3">
        <v>3139</v>
      </c>
      <c r="F51" s="3">
        <v>2137</v>
      </c>
      <c r="G51">
        <v>3.6</v>
      </c>
      <c r="H51">
        <v>701</v>
      </c>
      <c r="I51" t="s">
        <v>252</v>
      </c>
      <c r="J51" s="3">
        <f t="shared" si="0"/>
        <v>31.920993947116916</v>
      </c>
    </row>
    <row r="52" spans="1:10" x14ac:dyDescent="0.25">
      <c r="A52" t="s">
        <v>59</v>
      </c>
      <c r="B52" t="s">
        <v>159</v>
      </c>
      <c r="C52" t="s">
        <v>215</v>
      </c>
      <c r="D52" t="s">
        <v>219</v>
      </c>
      <c r="E52" s="3">
        <v>2824</v>
      </c>
      <c r="F52" s="3">
        <v>1719</v>
      </c>
      <c r="G52">
        <v>4.2</v>
      </c>
      <c r="H52">
        <v>644</v>
      </c>
      <c r="I52" t="s">
        <v>224</v>
      </c>
      <c r="J52" s="3">
        <f t="shared" si="0"/>
        <v>39.128895184135978</v>
      </c>
    </row>
    <row r="53" spans="1:10" x14ac:dyDescent="0.25">
      <c r="A53" t="s">
        <v>60</v>
      </c>
      <c r="B53" t="s">
        <v>160</v>
      </c>
      <c r="C53" t="s">
        <v>212</v>
      </c>
      <c r="D53" t="s">
        <v>221</v>
      </c>
      <c r="E53" s="3">
        <v>2131</v>
      </c>
      <c r="F53" s="3">
        <v>1931</v>
      </c>
      <c r="G53">
        <v>2.6</v>
      </c>
      <c r="H53">
        <v>260</v>
      </c>
      <c r="I53" t="s">
        <v>253</v>
      </c>
      <c r="J53" s="3">
        <f t="shared" si="0"/>
        <v>9.3852651337400275</v>
      </c>
    </row>
    <row r="54" spans="1:10" x14ac:dyDescent="0.25">
      <c r="A54" t="s">
        <v>61</v>
      </c>
      <c r="B54" t="s">
        <v>161</v>
      </c>
      <c r="C54" t="s">
        <v>210</v>
      </c>
      <c r="D54" t="s">
        <v>219</v>
      </c>
      <c r="E54" s="3">
        <v>3645</v>
      </c>
      <c r="F54" s="3">
        <v>2583</v>
      </c>
      <c r="G54">
        <v>3.5</v>
      </c>
      <c r="H54">
        <v>161</v>
      </c>
      <c r="I54" t="s">
        <v>225</v>
      </c>
      <c r="J54" s="3">
        <f t="shared" si="0"/>
        <v>29.1358024691358</v>
      </c>
    </row>
    <row r="55" spans="1:10" x14ac:dyDescent="0.25">
      <c r="A55" t="s">
        <v>62</v>
      </c>
      <c r="B55" t="s">
        <v>162</v>
      </c>
      <c r="C55" t="s">
        <v>211</v>
      </c>
      <c r="D55" t="s">
        <v>221</v>
      </c>
      <c r="E55" s="3">
        <v>4743</v>
      </c>
      <c r="F55" s="3">
        <v>2791</v>
      </c>
      <c r="G55">
        <v>2.6</v>
      </c>
      <c r="H55">
        <v>265</v>
      </c>
      <c r="I55" t="s">
        <v>251</v>
      </c>
      <c r="J55" s="3">
        <f t="shared" si="0"/>
        <v>41.155386885937176</v>
      </c>
    </row>
    <row r="56" spans="1:10" x14ac:dyDescent="0.25">
      <c r="A56" t="s">
        <v>63</v>
      </c>
      <c r="B56" t="s">
        <v>163</v>
      </c>
      <c r="C56" t="s">
        <v>215</v>
      </c>
      <c r="D56" t="s">
        <v>222</v>
      </c>
      <c r="E56" s="3">
        <v>4851</v>
      </c>
      <c r="F56" s="3">
        <v>2512</v>
      </c>
      <c r="G56">
        <v>4</v>
      </c>
      <c r="H56">
        <v>982</v>
      </c>
      <c r="I56" t="s">
        <v>254</v>
      </c>
      <c r="J56" s="3">
        <f t="shared" si="0"/>
        <v>48.216862502576788</v>
      </c>
    </row>
    <row r="57" spans="1:10" x14ac:dyDescent="0.25">
      <c r="A57" t="s">
        <v>64</v>
      </c>
      <c r="B57" t="s">
        <v>164</v>
      </c>
      <c r="C57" t="s">
        <v>215</v>
      </c>
      <c r="D57" t="s">
        <v>219</v>
      </c>
      <c r="E57" s="3">
        <v>4388</v>
      </c>
      <c r="F57" s="3">
        <v>2495</v>
      </c>
      <c r="G57">
        <v>3.1</v>
      </c>
      <c r="H57">
        <v>263</v>
      </c>
      <c r="I57" t="s">
        <v>231</v>
      </c>
      <c r="J57" s="3">
        <f t="shared" si="0"/>
        <v>43.140382862351871</v>
      </c>
    </row>
    <row r="58" spans="1:10" x14ac:dyDescent="0.25">
      <c r="A58" t="s">
        <v>65</v>
      </c>
      <c r="B58" t="s">
        <v>165</v>
      </c>
      <c r="C58" t="s">
        <v>210</v>
      </c>
      <c r="D58" t="s">
        <v>220</v>
      </c>
      <c r="E58" s="3">
        <v>1134</v>
      </c>
      <c r="F58" s="3">
        <v>792</v>
      </c>
      <c r="G58">
        <v>3.1</v>
      </c>
      <c r="H58">
        <v>353</v>
      </c>
      <c r="I58" t="s">
        <v>255</v>
      </c>
      <c r="J58" s="3">
        <f t="shared" si="0"/>
        <v>30.158730158730158</v>
      </c>
    </row>
    <row r="59" spans="1:10" x14ac:dyDescent="0.25">
      <c r="A59" t="s">
        <v>66</v>
      </c>
      <c r="B59" t="s">
        <v>166</v>
      </c>
      <c r="C59" t="s">
        <v>215</v>
      </c>
      <c r="D59" t="s">
        <v>221</v>
      </c>
      <c r="E59" s="3">
        <v>1751</v>
      </c>
      <c r="F59" s="3">
        <v>978</v>
      </c>
      <c r="G59">
        <v>3</v>
      </c>
      <c r="H59">
        <v>434</v>
      </c>
      <c r="I59" t="s">
        <v>256</v>
      </c>
      <c r="J59" s="3">
        <f t="shared" si="0"/>
        <v>44.146202170188467</v>
      </c>
    </row>
    <row r="60" spans="1:10" x14ac:dyDescent="0.25">
      <c r="A60" t="s">
        <v>67</v>
      </c>
      <c r="B60" t="s">
        <v>167</v>
      </c>
      <c r="C60" t="s">
        <v>210</v>
      </c>
      <c r="D60" t="s">
        <v>222</v>
      </c>
      <c r="E60" s="3">
        <v>660</v>
      </c>
      <c r="F60" s="3">
        <v>416</v>
      </c>
      <c r="G60">
        <v>3.7</v>
      </c>
      <c r="H60">
        <v>975</v>
      </c>
      <c r="I60" t="s">
        <v>257</v>
      </c>
      <c r="J60" s="3">
        <f t="shared" si="0"/>
        <v>36.969696969696969</v>
      </c>
    </row>
    <row r="61" spans="1:10" x14ac:dyDescent="0.25">
      <c r="A61" t="s">
        <v>68</v>
      </c>
      <c r="B61" t="s">
        <v>168</v>
      </c>
      <c r="C61" t="s">
        <v>210</v>
      </c>
      <c r="D61" t="s">
        <v>222</v>
      </c>
      <c r="E61" s="3">
        <v>2735</v>
      </c>
      <c r="F61" s="3">
        <v>1793</v>
      </c>
      <c r="G61">
        <v>3.7</v>
      </c>
      <c r="H61">
        <v>408</v>
      </c>
      <c r="I61" t="s">
        <v>258</v>
      </c>
      <c r="J61" s="3">
        <f t="shared" si="0"/>
        <v>34.442413162705662</v>
      </c>
    </row>
    <row r="62" spans="1:10" x14ac:dyDescent="0.25">
      <c r="A62" t="s">
        <v>69</v>
      </c>
      <c r="B62" t="s">
        <v>169</v>
      </c>
      <c r="C62" t="s">
        <v>215</v>
      </c>
      <c r="D62" t="s">
        <v>218</v>
      </c>
      <c r="E62" s="3">
        <v>720</v>
      </c>
      <c r="F62" s="3">
        <v>469</v>
      </c>
      <c r="G62">
        <v>4</v>
      </c>
      <c r="H62">
        <v>688</v>
      </c>
      <c r="I62" t="s">
        <v>225</v>
      </c>
      <c r="J62" s="3">
        <f t="shared" si="0"/>
        <v>34.861111111111107</v>
      </c>
    </row>
    <row r="63" spans="1:10" x14ac:dyDescent="0.25">
      <c r="A63" t="s">
        <v>70</v>
      </c>
      <c r="B63" t="s">
        <v>170</v>
      </c>
      <c r="C63" t="s">
        <v>211</v>
      </c>
      <c r="D63" t="s">
        <v>221</v>
      </c>
      <c r="E63" s="3">
        <v>4282</v>
      </c>
      <c r="F63" s="3">
        <v>3488</v>
      </c>
      <c r="G63">
        <v>2.6</v>
      </c>
      <c r="H63">
        <v>398</v>
      </c>
      <c r="I63" t="s">
        <v>230</v>
      </c>
      <c r="J63" s="3">
        <f t="shared" si="0"/>
        <v>18.542737038766933</v>
      </c>
    </row>
    <row r="64" spans="1:10" x14ac:dyDescent="0.25">
      <c r="A64" t="s">
        <v>71</v>
      </c>
      <c r="B64" t="s">
        <v>171</v>
      </c>
      <c r="C64" t="s">
        <v>216</v>
      </c>
      <c r="D64" t="s">
        <v>222</v>
      </c>
      <c r="E64" s="3">
        <v>3953</v>
      </c>
      <c r="F64" s="3">
        <v>3387</v>
      </c>
      <c r="G64">
        <v>4.5999999999999996</v>
      </c>
      <c r="H64">
        <v>491</v>
      </c>
      <c r="I64" t="s">
        <v>223</v>
      </c>
      <c r="J64" s="3">
        <f t="shared" si="0"/>
        <v>14.318239311915001</v>
      </c>
    </row>
    <row r="65" spans="1:10" x14ac:dyDescent="0.25">
      <c r="A65" t="s">
        <v>72</v>
      </c>
      <c r="B65" t="s">
        <v>172</v>
      </c>
      <c r="C65" t="s">
        <v>213</v>
      </c>
      <c r="D65" t="s">
        <v>220</v>
      </c>
      <c r="E65" s="3">
        <v>1062</v>
      </c>
      <c r="F65" s="3">
        <v>613</v>
      </c>
      <c r="G65">
        <v>4.9000000000000004</v>
      </c>
      <c r="H65">
        <v>51</v>
      </c>
      <c r="I65" t="s">
        <v>227</v>
      </c>
      <c r="J65" s="3">
        <f t="shared" si="0"/>
        <v>42.278719397363467</v>
      </c>
    </row>
    <row r="66" spans="1:10" x14ac:dyDescent="0.25">
      <c r="A66" t="s">
        <v>73</v>
      </c>
      <c r="B66" t="s">
        <v>173</v>
      </c>
      <c r="C66" t="s">
        <v>210</v>
      </c>
      <c r="D66" t="s">
        <v>217</v>
      </c>
      <c r="E66" s="3">
        <v>1748</v>
      </c>
      <c r="F66" s="3">
        <v>1454</v>
      </c>
      <c r="G66">
        <v>2.8</v>
      </c>
      <c r="H66">
        <v>695</v>
      </c>
      <c r="I66" t="s">
        <v>223</v>
      </c>
      <c r="J66" s="3">
        <f t="shared" si="0"/>
        <v>16.819221967963387</v>
      </c>
    </row>
    <row r="67" spans="1:10" x14ac:dyDescent="0.25">
      <c r="A67" t="s">
        <v>74</v>
      </c>
      <c r="B67" t="s">
        <v>174</v>
      </c>
      <c r="C67" t="s">
        <v>210</v>
      </c>
      <c r="D67" t="s">
        <v>222</v>
      </c>
      <c r="E67" s="3">
        <v>2599</v>
      </c>
      <c r="F67" s="3">
        <v>1794</v>
      </c>
      <c r="G67">
        <v>2.9</v>
      </c>
      <c r="H67">
        <v>631</v>
      </c>
      <c r="I67" t="s">
        <v>227</v>
      </c>
      <c r="J67" s="3">
        <f t="shared" ref="J67:J101" si="1">((E67-F67)/E67)*100</f>
        <v>30.973451327433626</v>
      </c>
    </row>
    <row r="68" spans="1:10" x14ac:dyDescent="0.25">
      <c r="A68" t="s">
        <v>75</v>
      </c>
      <c r="B68" t="s">
        <v>175</v>
      </c>
      <c r="C68" t="s">
        <v>212</v>
      </c>
      <c r="D68" t="s">
        <v>217</v>
      </c>
      <c r="E68" s="3">
        <v>710</v>
      </c>
      <c r="F68" s="3">
        <v>501</v>
      </c>
      <c r="G68">
        <v>3.9</v>
      </c>
      <c r="H68">
        <v>939</v>
      </c>
      <c r="I68" t="s">
        <v>259</v>
      </c>
      <c r="J68" s="3">
        <f t="shared" si="1"/>
        <v>29.43661971830986</v>
      </c>
    </row>
    <row r="69" spans="1:10" x14ac:dyDescent="0.25">
      <c r="A69" t="s">
        <v>76</v>
      </c>
      <c r="B69" t="s">
        <v>176</v>
      </c>
      <c r="C69" t="s">
        <v>209</v>
      </c>
      <c r="D69" t="s">
        <v>219</v>
      </c>
      <c r="E69" s="3">
        <v>2970</v>
      </c>
      <c r="F69" s="3">
        <v>1519</v>
      </c>
      <c r="G69">
        <v>4</v>
      </c>
      <c r="H69">
        <v>133</v>
      </c>
      <c r="I69" t="s">
        <v>233</v>
      </c>
      <c r="J69" s="3">
        <f t="shared" si="1"/>
        <v>48.855218855218858</v>
      </c>
    </row>
    <row r="70" spans="1:10" x14ac:dyDescent="0.25">
      <c r="A70" t="s">
        <v>77</v>
      </c>
      <c r="B70" t="s">
        <v>177</v>
      </c>
      <c r="C70" t="s">
        <v>211</v>
      </c>
      <c r="D70" t="s">
        <v>219</v>
      </c>
      <c r="E70" s="3">
        <v>1064</v>
      </c>
      <c r="F70" s="3">
        <v>755</v>
      </c>
      <c r="G70">
        <v>4.0999999999999996</v>
      </c>
      <c r="H70">
        <v>22</v>
      </c>
      <c r="I70" t="s">
        <v>260</v>
      </c>
      <c r="J70" s="3">
        <f t="shared" si="1"/>
        <v>29.041353383458645</v>
      </c>
    </row>
    <row r="71" spans="1:10" x14ac:dyDescent="0.25">
      <c r="A71" t="s">
        <v>78</v>
      </c>
      <c r="B71" t="s">
        <v>178</v>
      </c>
      <c r="C71" t="s">
        <v>214</v>
      </c>
      <c r="D71" t="s">
        <v>219</v>
      </c>
      <c r="E71" s="3">
        <v>4067</v>
      </c>
      <c r="F71" s="3">
        <v>3657</v>
      </c>
      <c r="G71">
        <v>4.3</v>
      </c>
      <c r="H71">
        <v>998</v>
      </c>
      <c r="I71" t="s">
        <v>261</v>
      </c>
      <c r="J71" s="3">
        <f t="shared" si="1"/>
        <v>10.081140890090975</v>
      </c>
    </row>
    <row r="72" spans="1:10" x14ac:dyDescent="0.25">
      <c r="A72" t="s">
        <v>79</v>
      </c>
      <c r="B72" t="s">
        <v>179</v>
      </c>
      <c r="C72" t="s">
        <v>211</v>
      </c>
      <c r="D72" t="s">
        <v>219</v>
      </c>
      <c r="E72" s="3">
        <v>2698</v>
      </c>
      <c r="F72" s="3">
        <v>1988</v>
      </c>
      <c r="G72">
        <v>4.5999999999999996</v>
      </c>
      <c r="H72">
        <v>860</v>
      </c>
      <c r="I72" t="s">
        <v>233</v>
      </c>
      <c r="J72" s="3">
        <f t="shared" si="1"/>
        <v>26.315789473684209</v>
      </c>
    </row>
    <row r="73" spans="1:10" x14ac:dyDescent="0.25">
      <c r="A73" t="s">
        <v>80</v>
      </c>
      <c r="B73" t="s">
        <v>180</v>
      </c>
      <c r="C73" t="s">
        <v>214</v>
      </c>
      <c r="D73" t="s">
        <v>221</v>
      </c>
      <c r="E73" s="3">
        <v>4306</v>
      </c>
      <c r="F73" s="3">
        <v>2704</v>
      </c>
      <c r="G73">
        <v>3.3</v>
      </c>
      <c r="H73">
        <v>516</v>
      </c>
      <c r="I73" t="s">
        <v>262</v>
      </c>
      <c r="J73" s="3">
        <f t="shared" si="1"/>
        <v>37.203901532745007</v>
      </c>
    </row>
    <row r="74" spans="1:10" x14ac:dyDescent="0.25">
      <c r="A74" t="s">
        <v>81</v>
      </c>
      <c r="B74" t="s">
        <v>181</v>
      </c>
      <c r="C74" t="s">
        <v>216</v>
      </c>
      <c r="D74" t="s">
        <v>220</v>
      </c>
      <c r="E74" s="3">
        <v>2790</v>
      </c>
      <c r="F74" s="3">
        <v>1520</v>
      </c>
      <c r="G74">
        <v>4.3</v>
      </c>
      <c r="H74">
        <v>292</v>
      </c>
      <c r="I74" t="s">
        <v>223</v>
      </c>
      <c r="J74" s="3">
        <f t="shared" si="1"/>
        <v>45.519713261648747</v>
      </c>
    </row>
    <row r="75" spans="1:10" x14ac:dyDescent="0.25">
      <c r="A75" t="s">
        <v>82</v>
      </c>
      <c r="B75" t="s">
        <v>182</v>
      </c>
      <c r="C75" t="s">
        <v>210</v>
      </c>
      <c r="D75" t="s">
        <v>217</v>
      </c>
      <c r="E75" s="3">
        <v>3829</v>
      </c>
      <c r="F75" s="3">
        <v>2779</v>
      </c>
      <c r="G75">
        <v>3.9</v>
      </c>
      <c r="H75">
        <v>256</v>
      </c>
      <c r="I75" t="s">
        <v>263</v>
      </c>
      <c r="J75" s="3">
        <f t="shared" si="1"/>
        <v>27.422303473491773</v>
      </c>
    </row>
    <row r="76" spans="1:10" x14ac:dyDescent="0.25">
      <c r="A76" t="s">
        <v>83</v>
      </c>
      <c r="B76" t="s">
        <v>183</v>
      </c>
      <c r="C76" t="s">
        <v>212</v>
      </c>
      <c r="D76" t="s">
        <v>221</v>
      </c>
      <c r="E76" s="3">
        <v>2493</v>
      </c>
      <c r="F76" s="3">
        <v>1816</v>
      </c>
      <c r="G76">
        <v>4.2</v>
      </c>
      <c r="H76">
        <v>387</v>
      </c>
      <c r="I76" t="s">
        <v>264</v>
      </c>
      <c r="J76" s="3">
        <f t="shared" si="1"/>
        <v>27.156036903329323</v>
      </c>
    </row>
    <row r="77" spans="1:10" x14ac:dyDescent="0.25">
      <c r="A77" t="s">
        <v>84</v>
      </c>
      <c r="B77" t="s">
        <v>184</v>
      </c>
      <c r="C77" t="s">
        <v>216</v>
      </c>
      <c r="D77" t="s">
        <v>219</v>
      </c>
      <c r="E77" s="3">
        <v>2719</v>
      </c>
      <c r="F77" s="3">
        <v>2042</v>
      </c>
      <c r="G77">
        <v>3.1</v>
      </c>
      <c r="H77">
        <v>133</v>
      </c>
      <c r="I77" t="s">
        <v>265</v>
      </c>
      <c r="J77" s="3">
        <f t="shared" si="1"/>
        <v>24.898859874954027</v>
      </c>
    </row>
    <row r="78" spans="1:10" x14ac:dyDescent="0.25">
      <c r="A78" t="s">
        <v>85</v>
      </c>
      <c r="B78" t="s">
        <v>185</v>
      </c>
      <c r="C78" t="s">
        <v>215</v>
      </c>
      <c r="D78" t="s">
        <v>221</v>
      </c>
      <c r="E78" s="3">
        <v>4466</v>
      </c>
      <c r="F78" s="3">
        <v>3284</v>
      </c>
      <c r="G78">
        <v>4.3</v>
      </c>
      <c r="H78">
        <v>788</v>
      </c>
      <c r="I78" t="s">
        <v>243</v>
      </c>
      <c r="J78" s="3">
        <f t="shared" si="1"/>
        <v>26.466636811464401</v>
      </c>
    </row>
    <row r="79" spans="1:10" x14ac:dyDescent="0.25">
      <c r="A79" t="s">
        <v>86</v>
      </c>
      <c r="B79" t="s">
        <v>186</v>
      </c>
      <c r="C79" t="s">
        <v>210</v>
      </c>
      <c r="D79" t="s">
        <v>220</v>
      </c>
      <c r="E79" s="3">
        <v>2976</v>
      </c>
      <c r="F79" s="3">
        <v>2898</v>
      </c>
      <c r="G79">
        <v>4.3</v>
      </c>
      <c r="H79">
        <v>139</v>
      </c>
      <c r="I79" t="s">
        <v>266</v>
      </c>
      <c r="J79" s="3">
        <f t="shared" si="1"/>
        <v>2.620967741935484</v>
      </c>
    </row>
    <row r="80" spans="1:10" x14ac:dyDescent="0.25">
      <c r="A80" t="s">
        <v>87</v>
      </c>
      <c r="B80" t="s">
        <v>187</v>
      </c>
      <c r="C80" t="s">
        <v>212</v>
      </c>
      <c r="D80" t="s">
        <v>219</v>
      </c>
      <c r="E80" s="3">
        <v>1534</v>
      </c>
      <c r="F80" s="3">
        <v>831</v>
      </c>
      <c r="G80">
        <v>4.7</v>
      </c>
      <c r="H80">
        <v>512</v>
      </c>
      <c r="I80" t="s">
        <v>225</v>
      </c>
      <c r="J80" s="3">
        <f t="shared" si="1"/>
        <v>45.827900912646676</v>
      </c>
    </row>
    <row r="81" spans="1:10" x14ac:dyDescent="0.25">
      <c r="A81" t="s">
        <v>88</v>
      </c>
      <c r="B81" t="s">
        <v>188</v>
      </c>
      <c r="C81" t="s">
        <v>212</v>
      </c>
      <c r="D81" t="s">
        <v>222</v>
      </c>
      <c r="E81" s="3">
        <v>4108</v>
      </c>
      <c r="F81" s="3">
        <v>3361</v>
      </c>
      <c r="G81">
        <v>3</v>
      </c>
      <c r="H81">
        <v>62</v>
      </c>
      <c r="I81" t="s">
        <v>267</v>
      </c>
      <c r="J81" s="3">
        <f t="shared" si="1"/>
        <v>18.184031158714703</v>
      </c>
    </row>
    <row r="82" spans="1:10" x14ac:dyDescent="0.25">
      <c r="A82" t="s">
        <v>89</v>
      </c>
      <c r="B82" t="s">
        <v>189</v>
      </c>
      <c r="C82" t="s">
        <v>211</v>
      </c>
      <c r="D82" t="s">
        <v>222</v>
      </c>
      <c r="E82" s="3">
        <v>939</v>
      </c>
      <c r="F82" s="3">
        <v>812</v>
      </c>
      <c r="G82">
        <v>2.9</v>
      </c>
      <c r="H82">
        <v>586</v>
      </c>
      <c r="I82" t="s">
        <v>268</v>
      </c>
      <c r="J82" s="3">
        <f t="shared" si="1"/>
        <v>13.525026624068156</v>
      </c>
    </row>
    <row r="83" spans="1:10" x14ac:dyDescent="0.25">
      <c r="A83" t="s">
        <v>90</v>
      </c>
      <c r="B83" t="s">
        <v>190</v>
      </c>
      <c r="C83" t="s">
        <v>211</v>
      </c>
      <c r="D83" t="s">
        <v>218</v>
      </c>
      <c r="E83" s="3">
        <v>2348</v>
      </c>
      <c r="F83" s="3">
        <v>1228</v>
      </c>
      <c r="G83">
        <v>3.5</v>
      </c>
      <c r="H83">
        <v>940</v>
      </c>
      <c r="I83" t="s">
        <v>256</v>
      </c>
      <c r="J83" s="3">
        <f t="shared" si="1"/>
        <v>47.700170357751276</v>
      </c>
    </row>
    <row r="84" spans="1:10" x14ac:dyDescent="0.25">
      <c r="A84" t="s">
        <v>91</v>
      </c>
      <c r="B84" t="s">
        <v>191</v>
      </c>
      <c r="C84" t="s">
        <v>209</v>
      </c>
      <c r="D84" t="s">
        <v>221</v>
      </c>
      <c r="E84" s="3">
        <v>2228</v>
      </c>
      <c r="F84" s="3">
        <v>1637</v>
      </c>
      <c r="G84">
        <v>4.2</v>
      </c>
      <c r="H84">
        <v>170</v>
      </c>
      <c r="I84" t="s">
        <v>269</v>
      </c>
      <c r="J84" s="3">
        <f t="shared" si="1"/>
        <v>26.526032315978455</v>
      </c>
    </row>
    <row r="85" spans="1:10" x14ac:dyDescent="0.25">
      <c r="A85" t="s">
        <v>92</v>
      </c>
      <c r="B85" t="s">
        <v>192</v>
      </c>
      <c r="C85" t="s">
        <v>215</v>
      </c>
      <c r="D85" t="s">
        <v>217</v>
      </c>
      <c r="E85" s="3">
        <v>4190</v>
      </c>
      <c r="F85" s="3">
        <v>2729</v>
      </c>
      <c r="G85">
        <v>4</v>
      </c>
      <c r="H85">
        <v>308</v>
      </c>
      <c r="I85" t="s">
        <v>227</v>
      </c>
      <c r="J85" s="3">
        <f t="shared" si="1"/>
        <v>34.868735083532222</v>
      </c>
    </row>
    <row r="86" spans="1:10" x14ac:dyDescent="0.25">
      <c r="A86" t="s">
        <v>93</v>
      </c>
      <c r="B86" t="s">
        <v>193</v>
      </c>
      <c r="C86" t="s">
        <v>212</v>
      </c>
      <c r="D86" t="s">
        <v>219</v>
      </c>
      <c r="E86" s="3">
        <v>4219</v>
      </c>
      <c r="F86" s="3">
        <v>3878</v>
      </c>
      <c r="G86">
        <v>4.2</v>
      </c>
      <c r="H86">
        <v>956</v>
      </c>
      <c r="I86" t="s">
        <v>270</v>
      </c>
      <c r="J86" s="3">
        <f t="shared" si="1"/>
        <v>8.0824840009480923</v>
      </c>
    </row>
    <row r="87" spans="1:10" x14ac:dyDescent="0.25">
      <c r="A87" t="s">
        <v>94</v>
      </c>
      <c r="B87" t="s">
        <v>194</v>
      </c>
      <c r="C87" t="s">
        <v>209</v>
      </c>
      <c r="D87" t="s">
        <v>218</v>
      </c>
      <c r="E87" s="3">
        <v>1720</v>
      </c>
      <c r="F87" s="3">
        <v>1398</v>
      </c>
      <c r="G87">
        <v>4.5999999999999996</v>
      </c>
      <c r="H87">
        <v>83</v>
      </c>
      <c r="I87" t="s">
        <v>227</v>
      </c>
      <c r="J87" s="3">
        <f t="shared" si="1"/>
        <v>18.720930232558139</v>
      </c>
    </row>
    <row r="88" spans="1:10" x14ac:dyDescent="0.25">
      <c r="A88" t="s">
        <v>95</v>
      </c>
      <c r="B88" t="s">
        <v>195</v>
      </c>
      <c r="C88" t="s">
        <v>212</v>
      </c>
      <c r="D88" t="s">
        <v>218</v>
      </c>
      <c r="E88" s="3">
        <v>2864</v>
      </c>
      <c r="F88" s="3">
        <v>1915</v>
      </c>
      <c r="G88">
        <v>2.8</v>
      </c>
      <c r="H88">
        <v>715</v>
      </c>
      <c r="I88" t="s">
        <v>271</v>
      </c>
      <c r="J88" s="3">
        <f t="shared" si="1"/>
        <v>33.135474860335194</v>
      </c>
    </row>
    <row r="89" spans="1:10" x14ac:dyDescent="0.25">
      <c r="A89" t="s">
        <v>96</v>
      </c>
      <c r="B89" t="s">
        <v>196</v>
      </c>
      <c r="C89" t="s">
        <v>214</v>
      </c>
      <c r="D89" t="s">
        <v>222</v>
      </c>
      <c r="E89" s="3">
        <v>826</v>
      </c>
      <c r="F89" s="3">
        <v>555</v>
      </c>
      <c r="G89">
        <v>4.3</v>
      </c>
      <c r="H89">
        <v>628</v>
      </c>
      <c r="I89" t="s">
        <v>272</v>
      </c>
      <c r="J89" s="3">
        <f t="shared" si="1"/>
        <v>32.808716707021787</v>
      </c>
    </row>
    <row r="90" spans="1:10" x14ac:dyDescent="0.25">
      <c r="A90" t="s">
        <v>97</v>
      </c>
      <c r="B90" t="s">
        <v>197</v>
      </c>
      <c r="C90" t="s">
        <v>213</v>
      </c>
      <c r="D90" t="s">
        <v>219</v>
      </c>
      <c r="E90" s="3">
        <v>2707</v>
      </c>
      <c r="F90" s="3">
        <v>1477</v>
      </c>
      <c r="G90">
        <v>2.6</v>
      </c>
      <c r="H90">
        <v>784</v>
      </c>
      <c r="I90" t="s">
        <v>273</v>
      </c>
      <c r="J90" s="3">
        <f t="shared" si="1"/>
        <v>45.437753971185813</v>
      </c>
    </row>
    <row r="91" spans="1:10" x14ac:dyDescent="0.25">
      <c r="A91" t="s">
        <v>98</v>
      </c>
      <c r="B91" t="s">
        <v>198</v>
      </c>
      <c r="C91" t="s">
        <v>212</v>
      </c>
      <c r="D91" t="s">
        <v>221</v>
      </c>
      <c r="E91" s="3">
        <v>4070</v>
      </c>
      <c r="F91" s="3">
        <v>2720</v>
      </c>
      <c r="G91">
        <v>4.5</v>
      </c>
      <c r="H91">
        <v>103</v>
      </c>
      <c r="I91" t="s">
        <v>238</v>
      </c>
      <c r="J91" s="3">
        <f t="shared" si="1"/>
        <v>33.169533169533175</v>
      </c>
    </row>
    <row r="92" spans="1:10" x14ac:dyDescent="0.25">
      <c r="A92" t="s">
        <v>99</v>
      </c>
      <c r="B92" t="s">
        <v>199</v>
      </c>
      <c r="C92" t="s">
        <v>209</v>
      </c>
      <c r="D92" t="s">
        <v>221</v>
      </c>
      <c r="E92" s="3">
        <v>3872</v>
      </c>
      <c r="F92" s="3">
        <v>2402</v>
      </c>
      <c r="G92">
        <v>3.7</v>
      </c>
      <c r="H92">
        <v>688</v>
      </c>
      <c r="I92" t="s">
        <v>226</v>
      </c>
      <c r="J92" s="3">
        <f t="shared" si="1"/>
        <v>37.964876033057855</v>
      </c>
    </row>
    <row r="93" spans="1:10" x14ac:dyDescent="0.25">
      <c r="A93" t="s">
        <v>100</v>
      </c>
      <c r="B93" t="s">
        <v>200</v>
      </c>
      <c r="C93" t="s">
        <v>216</v>
      </c>
      <c r="D93" t="s">
        <v>220</v>
      </c>
      <c r="E93" s="3">
        <v>1449</v>
      </c>
      <c r="F93" s="3">
        <v>986</v>
      </c>
      <c r="G93">
        <v>4.7</v>
      </c>
      <c r="H93">
        <v>854</v>
      </c>
      <c r="I93" t="s">
        <v>223</v>
      </c>
      <c r="J93" s="3">
        <f t="shared" si="1"/>
        <v>31.953071083505868</v>
      </c>
    </row>
    <row r="94" spans="1:10" x14ac:dyDescent="0.25">
      <c r="A94" t="s">
        <v>101</v>
      </c>
      <c r="B94" t="s">
        <v>201</v>
      </c>
      <c r="C94" t="s">
        <v>214</v>
      </c>
      <c r="D94" t="s">
        <v>222</v>
      </c>
      <c r="E94" s="3">
        <v>2036</v>
      </c>
      <c r="F94" s="3">
        <v>1456</v>
      </c>
      <c r="G94">
        <v>3.4</v>
      </c>
      <c r="H94">
        <v>784</v>
      </c>
      <c r="I94" t="s">
        <v>274</v>
      </c>
      <c r="J94" s="3">
        <f t="shared" si="1"/>
        <v>28.487229862475445</v>
      </c>
    </row>
    <row r="95" spans="1:10" x14ac:dyDescent="0.25">
      <c r="A95" t="s">
        <v>102</v>
      </c>
      <c r="B95" t="s">
        <v>202</v>
      </c>
      <c r="C95" t="s">
        <v>215</v>
      </c>
      <c r="D95" t="s">
        <v>220</v>
      </c>
      <c r="E95" s="3">
        <v>4470</v>
      </c>
      <c r="F95" s="3">
        <v>3923</v>
      </c>
      <c r="G95">
        <v>2.6</v>
      </c>
      <c r="H95">
        <v>655</v>
      </c>
      <c r="I95" t="s">
        <v>275</v>
      </c>
      <c r="J95" s="3">
        <f t="shared" si="1"/>
        <v>12.237136465324385</v>
      </c>
    </row>
    <row r="96" spans="1:10" x14ac:dyDescent="0.25">
      <c r="A96" t="s">
        <v>103</v>
      </c>
      <c r="B96" t="s">
        <v>203</v>
      </c>
      <c r="C96" t="s">
        <v>213</v>
      </c>
      <c r="D96" t="s">
        <v>218</v>
      </c>
      <c r="E96" s="3">
        <v>1263</v>
      </c>
      <c r="F96" s="3">
        <v>983</v>
      </c>
      <c r="G96">
        <v>5</v>
      </c>
      <c r="H96">
        <v>944</v>
      </c>
      <c r="I96" t="s">
        <v>251</v>
      </c>
      <c r="J96" s="3">
        <f t="shared" si="1"/>
        <v>22.169437846397464</v>
      </c>
    </row>
    <row r="97" spans="1:10" x14ac:dyDescent="0.25">
      <c r="A97" t="s">
        <v>104</v>
      </c>
      <c r="B97" t="s">
        <v>204</v>
      </c>
      <c r="C97" t="s">
        <v>209</v>
      </c>
      <c r="D97" t="s">
        <v>219</v>
      </c>
      <c r="E97" s="3">
        <v>1761</v>
      </c>
      <c r="F97" s="3">
        <v>1201</v>
      </c>
      <c r="G97">
        <v>4.8</v>
      </c>
      <c r="H97">
        <v>308</v>
      </c>
      <c r="I97" t="s">
        <v>276</v>
      </c>
      <c r="J97" s="3">
        <f t="shared" si="1"/>
        <v>31.800113571834189</v>
      </c>
    </row>
    <row r="98" spans="1:10" x14ac:dyDescent="0.25">
      <c r="A98" t="s">
        <v>105</v>
      </c>
      <c r="B98" t="s">
        <v>205</v>
      </c>
      <c r="C98" t="s">
        <v>210</v>
      </c>
      <c r="D98" t="s">
        <v>222</v>
      </c>
      <c r="E98" s="3">
        <v>1684</v>
      </c>
      <c r="F98" s="3">
        <v>1242</v>
      </c>
      <c r="G98">
        <v>3</v>
      </c>
      <c r="H98">
        <v>623</v>
      </c>
      <c r="I98" t="s">
        <v>277</v>
      </c>
      <c r="J98" s="3">
        <f t="shared" si="1"/>
        <v>26.247030878859857</v>
      </c>
    </row>
    <row r="99" spans="1:10" x14ac:dyDescent="0.25">
      <c r="A99" t="s">
        <v>106</v>
      </c>
      <c r="B99" t="s">
        <v>206</v>
      </c>
      <c r="C99" t="s">
        <v>211</v>
      </c>
      <c r="D99" t="s">
        <v>220</v>
      </c>
      <c r="E99" s="3">
        <v>4659</v>
      </c>
      <c r="F99" s="3">
        <v>3515</v>
      </c>
      <c r="G99">
        <v>4.5999999999999996</v>
      </c>
      <c r="H99">
        <v>299</v>
      </c>
      <c r="I99" t="s">
        <v>278</v>
      </c>
      <c r="J99" s="3">
        <f t="shared" si="1"/>
        <v>24.554625456106461</v>
      </c>
    </row>
    <row r="100" spans="1:10" x14ac:dyDescent="0.25">
      <c r="A100" t="s">
        <v>107</v>
      </c>
      <c r="B100" t="s">
        <v>207</v>
      </c>
      <c r="C100" t="s">
        <v>214</v>
      </c>
      <c r="D100" t="s">
        <v>218</v>
      </c>
      <c r="E100" s="3">
        <v>3327</v>
      </c>
      <c r="F100" s="3">
        <v>2597</v>
      </c>
      <c r="G100">
        <v>3.9</v>
      </c>
      <c r="H100">
        <v>566</v>
      </c>
      <c r="I100" t="s">
        <v>279</v>
      </c>
      <c r="J100" s="3">
        <f t="shared" si="1"/>
        <v>21.941689209498048</v>
      </c>
    </row>
    <row r="101" spans="1:10" x14ac:dyDescent="0.25">
      <c r="A101" t="s">
        <v>108</v>
      </c>
      <c r="B101" t="s">
        <v>208</v>
      </c>
      <c r="C101" t="s">
        <v>211</v>
      </c>
      <c r="D101" t="s">
        <v>221</v>
      </c>
      <c r="E101" s="3">
        <v>3865</v>
      </c>
      <c r="F101" s="3">
        <v>3726</v>
      </c>
      <c r="G101">
        <v>3.3</v>
      </c>
      <c r="H101">
        <v>494</v>
      </c>
      <c r="I101" t="s">
        <v>280</v>
      </c>
      <c r="J101" s="3">
        <f t="shared" si="1"/>
        <v>3.5963777490297542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1"/>
  <sheetViews>
    <sheetView tabSelected="1" topLeftCell="Q25" workbookViewId="0">
      <selection activeCell="W45" sqref="W45"/>
    </sheetView>
  </sheetViews>
  <sheetFormatPr defaultRowHeight="15" x14ac:dyDescent="0.25"/>
  <cols>
    <col min="1" max="1" width="14.7109375" bestFit="1" customWidth="1"/>
    <col min="2" max="2" width="18.42578125" bestFit="1" customWidth="1"/>
    <col min="3" max="3" width="10.7109375" bestFit="1" customWidth="1"/>
    <col min="4" max="4" width="13.42578125" bestFit="1" customWidth="1"/>
    <col min="5" max="5" width="9.7109375" bestFit="1" customWidth="1"/>
    <col min="6" max="6" width="16.42578125" bestFit="1" customWidth="1"/>
    <col min="7" max="7" width="11.140625" bestFit="1" customWidth="1"/>
    <col min="8" max="8" width="22.28515625" bestFit="1" customWidth="1"/>
    <col min="9" max="9" width="18.85546875" customWidth="1"/>
    <col min="10" max="10" width="5.5703125" customWidth="1"/>
    <col min="11" max="11" width="5.42578125" customWidth="1"/>
    <col min="12" max="12" width="5.85546875" customWidth="1"/>
    <col min="13" max="13" width="11.28515625" customWidth="1"/>
    <col min="14" max="14" width="10.28515625" customWidth="1"/>
    <col min="15" max="17" width="10.7109375" customWidth="1"/>
    <col min="18" max="18" width="14.85546875" bestFit="1" customWidth="1"/>
    <col min="21" max="21" width="13.140625" customWidth="1"/>
    <col min="22" max="22" width="16.7109375" customWidth="1"/>
    <col min="23" max="23" width="20.5703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8" t="s">
        <v>300</v>
      </c>
      <c r="K1" s="8" t="s">
        <v>300</v>
      </c>
      <c r="L1" s="8" t="s">
        <v>300</v>
      </c>
      <c r="M1" s="8" t="s">
        <v>291</v>
      </c>
      <c r="N1" s="8" t="s">
        <v>292</v>
      </c>
      <c r="O1" s="8" t="s">
        <v>293</v>
      </c>
      <c r="P1" s="8" t="s">
        <v>294</v>
      </c>
      <c r="Q1" s="8" t="s">
        <v>295</v>
      </c>
      <c r="R1" s="4" t="s">
        <v>281</v>
      </c>
      <c r="S1" s="4" t="s">
        <v>299</v>
      </c>
      <c r="T1" s="9"/>
    </row>
    <row r="2" spans="1:26" x14ac:dyDescent="0.25">
      <c r="A2" t="s">
        <v>103</v>
      </c>
      <c r="B2" t="s">
        <v>203</v>
      </c>
      <c r="C2" t="s">
        <v>213</v>
      </c>
      <c r="D2" t="s">
        <v>218</v>
      </c>
      <c r="E2" s="3">
        <v>1263</v>
      </c>
      <c r="F2" s="3">
        <v>983</v>
      </c>
      <c r="G2">
        <v>5</v>
      </c>
      <c r="H2">
        <v>944</v>
      </c>
      <c r="I2" t="s">
        <v>251</v>
      </c>
      <c r="M2">
        <f>COUNTIFS(I2:L2, "*S*",I2:L2, "&lt;&gt;*XS*")</f>
        <v>0</v>
      </c>
      <c r="N2">
        <f>COUNTIF(I2:L2,"*M*")</f>
        <v>0</v>
      </c>
      <c r="O2">
        <f>COUNTIFS(I2:L2, "*L*", I2:L2, "&lt;&gt;*XL*", I2:L2, "&lt;&gt;*XXL*")</f>
        <v>0</v>
      </c>
      <c r="P2">
        <f>COUNTIFS(I2:L2, "*XL*", I2:L2, "&lt;&gt;*XXL*")</f>
        <v>1</v>
      </c>
      <c r="Q2">
        <f>COUNTIF(I2:L2, "*XXL*")</f>
        <v>0</v>
      </c>
      <c r="R2" s="3">
        <f>((E2-F2)/E2)*100</f>
        <v>22.169437846397464</v>
      </c>
      <c r="S2" t="str">
        <f>IF(F2 &lt; 500, "&lt;500", IF(F2&lt; 1000, "500-999", IF(F2 &lt; 1500, "1000-1499", "1500+")))</f>
        <v>500-999</v>
      </c>
    </row>
    <row r="3" spans="1:26" x14ac:dyDescent="0.25">
      <c r="A3" t="s">
        <v>12</v>
      </c>
      <c r="B3" t="s">
        <v>112</v>
      </c>
      <c r="C3" t="s">
        <v>211</v>
      </c>
      <c r="D3" t="s">
        <v>220</v>
      </c>
      <c r="E3" s="3">
        <v>1773</v>
      </c>
      <c r="F3" s="3">
        <v>1503</v>
      </c>
      <c r="G3">
        <v>4.9000000000000004</v>
      </c>
      <c r="H3">
        <v>354</v>
      </c>
      <c r="I3" t="s">
        <v>225</v>
      </c>
      <c r="K3" t="s">
        <v>296</v>
      </c>
      <c r="M3">
        <f>COUNTIFS(I3:L3, "*S*",I3:L3, "&lt;&gt;*XS*")</f>
        <v>1</v>
      </c>
      <c r="N3">
        <f t="shared" ref="N3:N38" si="0">COUNTIF(I3:L3,"*M*")</f>
        <v>0</v>
      </c>
      <c r="O3">
        <f t="shared" ref="O3:O38" si="1">COUNTIFS(I3:L3, "*L*", I3:L3, "&lt;&gt;*XL*", I3:L3, "&lt;&gt;*XXL*")</f>
        <v>0</v>
      </c>
      <c r="P3">
        <f t="shared" ref="P3:P38" si="2">COUNTIFS(I3:L3, "*XL*", I3:L3, "&lt;&gt;*XXL*")</f>
        <v>0</v>
      </c>
      <c r="Q3">
        <f t="shared" ref="Q3:Q38" si="3">COUNTIF(I3:L3, "*XXL*")</f>
        <v>0</v>
      </c>
      <c r="R3" s="3">
        <f>((E3-F3)/E3)*100</f>
        <v>15.228426395939088</v>
      </c>
      <c r="S3" t="str">
        <f t="shared" ref="S3:S38" si="4">IF(F3 &lt; 500, "&lt;500", IF(F3&lt; 1000, "500-999", IF(F3 &lt; 1500, "1000-1499", "1500+")))</f>
        <v>1500+</v>
      </c>
      <c r="U3" t="s">
        <v>282</v>
      </c>
      <c r="V3">
        <f>AVERAGE(E2:E101)</f>
        <v>2749.49</v>
      </c>
    </row>
    <row r="4" spans="1:26" x14ac:dyDescent="0.25">
      <c r="A4" t="s">
        <v>26</v>
      </c>
      <c r="B4" t="s">
        <v>126</v>
      </c>
      <c r="C4" t="s">
        <v>209</v>
      </c>
      <c r="D4" t="s">
        <v>217</v>
      </c>
      <c r="E4" s="3">
        <v>4481</v>
      </c>
      <c r="F4" s="3">
        <v>4148</v>
      </c>
      <c r="G4">
        <v>4.9000000000000004</v>
      </c>
      <c r="H4">
        <v>555</v>
      </c>
      <c r="I4" t="s">
        <v>227</v>
      </c>
      <c r="J4" t="s">
        <v>286</v>
      </c>
      <c r="K4" t="s">
        <v>296</v>
      </c>
      <c r="M4">
        <f>COUNTIFS(I4:L4, "*S*",I4:L4, "&lt;&gt;*XS*")</f>
        <v>0</v>
      </c>
      <c r="N4">
        <f t="shared" si="0"/>
        <v>1</v>
      </c>
      <c r="O4">
        <f t="shared" si="1"/>
        <v>0</v>
      </c>
      <c r="P4">
        <f t="shared" si="2"/>
        <v>1</v>
      </c>
      <c r="Q4">
        <f t="shared" si="3"/>
        <v>0</v>
      </c>
      <c r="R4" s="3">
        <f>((E4-F4)/E4)*100</f>
        <v>7.4313769247935726</v>
      </c>
      <c r="S4" t="str">
        <f t="shared" si="4"/>
        <v>1500+</v>
      </c>
      <c r="U4" t="s">
        <v>283</v>
      </c>
      <c r="V4" s="3">
        <f>AVERAGE(R2:R101)</f>
        <v>26.65314468300188</v>
      </c>
    </row>
    <row r="5" spans="1:26" x14ac:dyDescent="0.25">
      <c r="A5" t="s">
        <v>36</v>
      </c>
      <c r="B5" t="s">
        <v>136</v>
      </c>
      <c r="C5" t="s">
        <v>214</v>
      </c>
      <c r="D5" t="s">
        <v>221</v>
      </c>
      <c r="E5" s="3">
        <v>2930</v>
      </c>
      <c r="F5" s="3">
        <v>2435</v>
      </c>
      <c r="G5">
        <v>4.9000000000000004</v>
      </c>
      <c r="H5">
        <v>603</v>
      </c>
      <c r="I5" t="s">
        <v>233</v>
      </c>
      <c r="M5">
        <f t="shared" ref="M5:M38" si="5">COUNTIFS(I5:L5, "*S*",I5:L5, "&lt;&gt;*XS*")</f>
        <v>0</v>
      </c>
      <c r="N5">
        <f t="shared" si="0"/>
        <v>0</v>
      </c>
      <c r="O5">
        <f t="shared" si="1"/>
        <v>1</v>
      </c>
      <c r="P5">
        <f t="shared" si="2"/>
        <v>0</v>
      </c>
      <c r="Q5">
        <f t="shared" si="3"/>
        <v>0</v>
      </c>
      <c r="R5" s="3">
        <f>((E5-F5)/E5)*100</f>
        <v>16.89419795221843</v>
      </c>
      <c r="S5" t="str">
        <f t="shared" si="4"/>
        <v>1500+</v>
      </c>
    </row>
    <row r="6" spans="1:26" x14ac:dyDescent="0.25">
      <c r="A6" t="s">
        <v>46</v>
      </c>
      <c r="B6" t="s">
        <v>146</v>
      </c>
      <c r="C6" t="s">
        <v>211</v>
      </c>
      <c r="D6" t="s">
        <v>218</v>
      </c>
      <c r="E6" s="3">
        <v>1416</v>
      </c>
      <c r="F6" s="3">
        <v>1289</v>
      </c>
      <c r="G6">
        <v>4.9000000000000004</v>
      </c>
      <c r="H6">
        <v>717</v>
      </c>
      <c r="I6" t="s">
        <v>223</v>
      </c>
      <c r="J6" t="s">
        <v>287</v>
      </c>
      <c r="M6">
        <f t="shared" si="5"/>
        <v>1</v>
      </c>
      <c r="N6">
        <f t="shared" si="0"/>
        <v>0</v>
      </c>
      <c r="O6">
        <f t="shared" si="1"/>
        <v>0</v>
      </c>
      <c r="P6">
        <f t="shared" si="2"/>
        <v>0</v>
      </c>
      <c r="Q6">
        <f t="shared" si="3"/>
        <v>1</v>
      </c>
      <c r="R6" s="3">
        <f>((E6-F6)/E6)*100</f>
        <v>8.9689265536723166</v>
      </c>
      <c r="S6" t="str">
        <f t="shared" si="4"/>
        <v>1000-1499</v>
      </c>
      <c r="V6" t="s">
        <v>225</v>
      </c>
      <c r="W6" t="s">
        <v>227</v>
      </c>
      <c r="X6" t="s">
        <v>233</v>
      </c>
      <c r="Y6" t="s">
        <v>251</v>
      </c>
      <c r="Z6" t="s">
        <v>223</v>
      </c>
    </row>
    <row r="7" spans="1:26" x14ac:dyDescent="0.25">
      <c r="A7" t="s">
        <v>72</v>
      </c>
      <c r="B7" t="s">
        <v>172</v>
      </c>
      <c r="C7" t="s">
        <v>213</v>
      </c>
      <c r="D7" t="s">
        <v>220</v>
      </c>
      <c r="E7" s="3">
        <v>1062</v>
      </c>
      <c r="F7" s="3">
        <v>613</v>
      </c>
      <c r="G7">
        <v>4.9000000000000004</v>
      </c>
      <c r="H7">
        <v>51</v>
      </c>
      <c r="I7" t="s">
        <v>227</v>
      </c>
      <c r="M7">
        <f t="shared" si="5"/>
        <v>0</v>
      </c>
      <c r="N7">
        <f t="shared" si="0"/>
        <v>1</v>
      </c>
      <c r="O7">
        <f t="shared" si="1"/>
        <v>0</v>
      </c>
      <c r="P7">
        <f t="shared" si="2"/>
        <v>0</v>
      </c>
      <c r="Q7">
        <f t="shared" si="3"/>
        <v>0</v>
      </c>
      <c r="R7" s="3">
        <f>((E7-F7)/E7)*100</f>
        <v>42.278719397363467</v>
      </c>
      <c r="S7" t="str">
        <f t="shared" si="4"/>
        <v>500-999</v>
      </c>
      <c r="U7" t="s">
        <v>297</v>
      </c>
      <c r="V7">
        <f>SUM(M2:M101)</f>
        <v>42</v>
      </c>
      <c r="W7">
        <f t="shared" ref="W7:Z7" si="6">SUM(N2:N101)</f>
        <v>19</v>
      </c>
      <c r="X7">
        <f t="shared" si="6"/>
        <v>12</v>
      </c>
      <c r="Y7">
        <f t="shared" si="6"/>
        <v>50</v>
      </c>
      <c r="Z7">
        <f t="shared" si="6"/>
        <v>16</v>
      </c>
    </row>
    <row r="8" spans="1:26" x14ac:dyDescent="0.25">
      <c r="A8" t="s">
        <v>27</v>
      </c>
      <c r="B8" t="s">
        <v>127</v>
      </c>
      <c r="C8" t="s">
        <v>215</v>
      </c>
      <c r="D8" t="s">
        <v>220</v>
      </c>
      <c r="E8" s="3">
        <v>3966</v>
      </c>
      <c r="F8" s="3">
        <v>3483</v>
      </c>
      <c r="G8">
        <v>4.8</v>
      </c>
      <c r="H8">
        <v>783</v>
      </c>
      <c r="I8" t="s">
        <v>233</v>
      </c>
      <c r="J8" t="s">
        <v>286</v>
      </c>
      <c r="M8">
        <f t="shared" si="5"/>
        <v>0</v>
      </c>
      <c r="N8">
        <f t="shared" si="0"/>
        <v>0</v>
      </c>
      <c r="O8">
        <f t="shared" si="1"/>
        <v>1</v>
      </c>
      <c r="P8">
        <f t="shared" si="2"/>
        <v>1</v>
      </c>
      <c r="Q8">
        <f t="shared" si="3"/>
        <v>0</v>
      </c>
      <c r="R8" s="3">
        <f>((E8-F8)/E8)*100</f>
        <v>12.178517397881997</v>
      </c>
      <c r="S8" t="str">
        <f t="shared" si="4"/>
        <v>1500+</v>
      </c>
    </row>
    <row r="9" spans="1:26" x14ac:dyDescent="0.25">
      <c r="A9" t="s">
        <v>34</v>
      </c>
      <c r="B9" t="s">
        <v>134</v>
      </c>
      <c r="C9" t="s">
        <v>213</v>
      </c>
      <c r="D9" t="s">
        <v>219</v>
      </c>
      <c r="E9" s="3">
        <v>620</v>
      </c>
      <c r="F9" s="3">
        <v>523</v>
      </c>
      <c r="G9">
        <v>4.8</v>
      </c>
      <c r="H9">
        <v>879</v>
      </c>
      <c r="I9" t="s">
        <v>227</v>
      </c>
      <c r="J9" t="s">
        <v>286</v>
      </c>
      <c r="M9">
        <f t="shared" si="5"/>
        <v>0</v>
      </c>
      <c r="N9">
        <f t="shared" si="0"/>
        <v>1</v>
      </c>
      <c r="O9">
        <f t="shared" si="1"/>
        <v>0</v>
      </c>
      <c r="P9">
        <f t="shared" si="2"/>
        <v>1</v>
      </c>
      <c r="Q9">
        <f t="shared" si="3"/>
        <v>0</v>
      </c>
      <c r="R9" s="3">
        <f>((E9-F9)/E9)*100</f>
        <v>15.645161290322582</v>
      </c>
      <c r="S9" t="str">
        <f t="shared" si="4"/>
        <v>500-999</v>
      </c>
    </row>
    <row r="10" spans="1:26" x14ac:dyDescent="0.25">
      <c r="A10" t="s">
        <v>37</v>
      </c>
      <c r="B10" t="s">
        <v>137</v>
      </c>
      <c r="C10" t="s">
        <v>213</v>
      </c>
      <c r="D10" t="s">
        <v>217</v>
      </c>
      <c r="E10" s="3">
        <v>4405</v>
      </c>
      <c r="F10" s="3">
        <v>2296</v>
      </c>
      <c r="G10">
        <v>4.8</v>
      </c>
      <c r="H10">
        <v>553</v>
      </c>
      <c r="I10" t="s">
        <v>225</v>
      </c>
      <c r="J10" t="s">
        <v>288</v>
      </c>
      <c r="M10">
        <f t="shared" si="5"/>
        <v>1</v>
      </c>
      <c r="N10">
        <f t="shared" si="0"/>
        <v>0</v>
      </c>
      <c r="O10">
        <f t="shared" si="1"/>
        <v>0</v>
      </c>
      <c r="P10">
        <f t="shared" si="2"/>
        <v>0</v>
      </c>
      <c r="Q10">
        <f t="shared" si="3"/>
        <v>1</v>
      </c>
      <c r="R10" s="3">
        <f>((E10-F10)/E10)*100</f>
        <v>47.877412031782072</v>
      </c>
      <c r="S10" t="str">
        <f t="shared" si="4"/>
        <v>1500+</v>
      </c>
    </row>
    <row r="11" spans="1:26" x14ac:dyDescent="0.25">
      <c r="A11" t="s">
        <v>49</v>
      </c>
      <c r="B11" t="s">
        <v>149</v>
      </c>
      <c r="C11" t="s">
        <v>215</v>
      </c>
      <c r="D11" t="s">
        <v>222</v>
      </c>
      <c r="E11" s="3">
        <v>1969</v>
      </c>
      <c r="F11" s="3">
        <v>1165</v>
      </c>
      <c r="G11">
        <v>4.8</v>
      </c>
      <c r="H11">
        <v>811</v>
      </c>
      <c r="I11" t="s">
        <v>227</v>
      </c>
      <c r="J11" t="s">
        <v>289</v>
      </c>
      <c r="K11" t="s">
        <v>287</v>
      </c>
      <c r="L11" t="s">
        <v>286</v>
      </c>
      <c r="M11">
        <f t="shared" si="5"/>
        <v>1</v>
      </c>
      <c r="N11">
        <f t="shared" si="0"/>
        <v>1</v>
      </c>
      <c r="O11">
        <f t="shared" si="1"/>
        <v>1</v>
      </c>
      <c r="P11">
        <f t="shared" si="2"/>
        <v>1</v>
      </c>
      <c r="Q11">
        <f t="shared" si="3"/>
        <v>0</v>
      </c>
      <c r="R11" s="3">
        <f>((E11-F11)/E11)*100</f>
        <v>40.832910106653124</v>
      </c>
      <c r="S11" t="str">
        <f t="shared" si="4"/>
        <v>1000-1499</v>
      </c>
    </row>
    <row r="12" spans="1:26" x14ac:dyDescent="0.25">
      <c r="A12" t="s">
        <v>104</v>
      </c>
      <c r="B12" t="s">
        <v>204</v>
      </c>
      <c r="C12" t="s">
        <v>209</v>
      </c>
      <c r="D12" t="s">
        <v>219</v>
      </c>
      <c r="E12" s="3">
        <v>1761</v>
      </c>
      <c r="F12" s="3">
        <v>1201</v>
      </c>
      <c r="G12">
        <v>4.8</v>
      </c>
      <c r="H12">
        <v>308</v>
      </c>
      <c r="I12" t="s">
        <v>251</v>
      </c>
      <c r="J12" t="s">
        <v>288</v>
      </c>
      <c r="K12" t="s">
        <v>290</v>
      </c>
      <c r="M12">
        <f t="shared" si="5"/>
        <v>0</v>
      </c>
      <c r="N12">
        <f t="shared" si="0"/>
        <v>1</v>
      </c>
      <c r="O12">
        <f t="shared" si="1"/>
        <v>0</v>
      </c>
      <c r="P12">
        <f t="shared" si="2"/>
        <v>1</v>
      </c>
      <c r="Q12">
        <f t="shared" si="3"/>
        <v>1</v>
      </c>
      <c r="R12" s="3">
        <f>((E12-F12)/E12)*100</f>
        <v>31.800113571834189</v>
      </c>
      <c r="S12" t="str">
        <f t="shared" si="4"/>
        <v>1000-1499</v>
      </c>
    </row>
    <row r="13" spans="1:26" x14ac:dyDescent="0.25">
      <c r="A13" t="s">
        <v>23</v>
      </c>
      <c r="B13" t="s">
        <v>123</v>
      </c>
      <c r="C13" t="s">
        <v>211</v>
      </c>
      <c r="D13" t="s">
        <v>221</v>
      </c>
      <c r="E13" s="3">
        <v>526</v>
      </c>
      <c r="F13" s="3">
        <v>292</v>
      </c>
      <c r="G13">
        <v>4.7</v>
      </c>
      <c r="H13">
        <v>279</v>
      </c>
      <c r="I13" t="s">
        <v>223</v>
      </c>
      <c r="J13" t="s">
        <v>287</v>
      </c>
      <c r="M13">
        <f t="shared" si="5"/>
        <v>1</v>
      </c>
      <c r="N13">
        <f t="shared" si="0"/>
        <v>0</v>
      </c>
      <c r="O13">
        <f t="shared" si="1"/>
        <v>0</v>
      </c>
      <c r="P13">
        <f t="shared" si="2"/>
        <v>0</v>
      </c>
      <c r="Q13">
        <f t="shared" si="3"/>
        <v>1</v>
      </c>
      <c r="R13" s="3">
        <f>((E13-F13)/E13)*100</f>
        <v>44.486692015209123</v>
      </c>
      <c r="S13" t="str">
        <f t="shared" si="4"/>
        <v>&lt;500</v>
      </c>
    </row>
    <row r="14" spans="1:26" x14ac:dyDescent="0.25">
      <c r="A14" t="s">
        <v>25</v>
      </c>
      <c r="B14" t="s">
        <v>125</v>
      </c>
      <c r="C14" t="s">
        <v>216</v>
      </c>
      <c r="D14" t="s">
        <v>222</v>
      </c>
      <c r="E14" s="3">
        <v>1416</v>
      </c>
      <c r="F14" s="3">
        <v>995</v>
      </c>
      <c r="G14">
        <v>4.7</v>
      </c>
      <c r="H14">
        <v>861</v>
      </c>
      <c r="I14" t="s">
        <v>227</v>
      </c>
      <c r="J14" t="s">
        <v>287</v>
      </c>
      <c r="K14" t="s">
        <v>286</v>
      </c>
      <c r="M14">
        <f t="shared" si="5"/>
        <v>1</v>
      </c>
      <c r="N14">
        <f t="shared" si="0"/>
        <v>1</v>
      </c>
      <c r="O14">
        <f t="shared" si="1"/>
        <v>0</v>
      </c>
      <c r="P14">
        <f t="shared" si="2"/>
        <v>1</v>
      </c>
      <c r="Q14">
        <f t="shared" si="3"/>
        <v>0</v>
      </c>
      <c r="R14" s="3">
        <f>((E14-F14)/E14)*100</f>
        <v>29.731638418079097</v>
      </c>
      <c r="S14" t="str">
        <f t="shared" si="4"/>
        <v>500-999</v>
      </c>
    </row>
    <row r="15" spans="1:26" x14ac:dyDescent="0.25">
      <c r="A15" t="s">
        <v>38</v>
      </c>
      <c r="B15" t="s">
        <v>138</v>
      </c>
      <c r="C15" t="s">
        <v>215</v>
      </c>
      <c r="D15" t="s">
        <v>217</v>
      </c>
      <c r="E15" s="3">
        <v>1056</v>
      </c>
      <c r="F15" s="3">
        <v>661</v>
      </c>
      <c r="G15">
        <v>4.7</v>
      </c>
      <c r="H15">
        <v>423</v>
      </c>
      <c r="I15" t="s">
        <v>223</v>
      </c>
      <c r="M15">
        <f t="shared" si="5"/>
        <v>0</v>
      </c>
      <c r="N15">
        <f t="shared" si="0"/>
        <v>0</v>
      </c>
      <c r="O15">
        <f t="shared" si="1"/>
        <v>0</v>
      </c>
      <c r="P15">
        <f t="shared" si="2"/>
        <v>0</v>
      </c>
      <c r="Q15">
        <f t="shared" si="3"/>
        <v>1</v>
      </c>
      <c r="R15" s="3">
        <f>((E15-F15)/E15)*100</f>
        <v>37.405303030303031</v>
      </c>
      <c r="S15" t="str">
        <f t="shared" si="4"/>
        <v>500-999</v>
      </c>
    </row>
    <row r="16" spans="1:26" x14ac:dyDescent="0.25">
      <c r="A16" t="s">
        <v>87</v>
      </c>
      <c r="B16" t="s">
        <v>187</v>
      </c>
      <c r="C16" t="s">
        <v>212</v>
      </c>
      <c r="D16" t="s">
        <v>219</v>
      </c>
      <c r="E16" s="3">
        <v>1534</v>
      </c>
      <c r="F16" s="3">
        <v>831</v>
      </c>
      <c r="G16">
        <v>4.7</v>
      </c>
      <c r="H16">
        <v>512</v>
      </c>
      <c r="I16" t="s">
        <v>225</v>
      </c>
      <c r="M16">
        <f t="shared" si="5"/>
        <v>1</v>
      </c>
      <c r="N16">
        <f t="shared" si="0"/>
        <v>0</v>
      </c>
      <c r="O16">
        <f t="shared" si="1"/>
        <v>0</v>
      </c>
      <c r="P16">
        <f t="shared" si="2"/>
        <v>0</v>
      </c>
      <c r="Q16">
        <f t="shared" si="3"/>
        <v>0</v>
      </c>
      <c r="R16" s="3">
        <f>((E16-F16)/E16)*100</f>
        <v>45.827900912646676</v>
      </c>
      <c r="S16" t="str">
        <f t="shared" si="4"/>
        <v>500-999</v>
      </c>
    </row>
    <row r="17" spans="1:19" x14ac:dyDescent="0.25">
      <c r="A17" t="s">
        <v>100</v>
      </c>
      <c r="B17" t="s">
        <v>200</v>
      </c>
      <c r="C17" t="s">
        <v>216</v>
      </c>
      <c r="D17" t="s">
        <v>220</v>
      </c>
      <c r="E17" s="3">
        <v>1449</v>
      </c>
      <c r="F17" s="3">
        <v>986</v>
      </c>
      <c r="G17">
        <v>4.7</v>
      </c>
      <c r="H17">
        <v>854</v>
      </c>
      <c r="I17" t="s">
        <v>223</v>
      </c>
      <c r="M17">
        <f t="shared" si="5"/>
        <v>0</v>
      </c>
      <c r="N17">
        <f t="shared" si="0"/>
        <v>0</v>
      </c>
      <c r="O17">
        <f t="shared" si="1"/>
        <v>0</v>
      </c>
      <c r="P17">
        <f t="shared" si="2"/>
        <v>0</v>
      </c>
      <c r="Q17">
        <f t="shared" si="3"/>
        <v>1</v>
      </c>
      <c r="R17" s="3">
        <f>((E17-F17)/E17)*100</f>
        <v>31.953071083505868</v>
      </c>
      <c r="S17" t="str">
        <f t="shared" si="4"/>
        <v>500-999</v>
      </c>
    </row>
    <row r="18" spans="1:19" x14ac:dyDescent="0.25">
      <c r="A18" t="s">
        <v>17</v>
      </c>
      <c r="B18" t="s">
        <v>117</v>
      </c>
      <c r="C18" t="s">
        <v>211</v>
      </c>
      <c r="D18" t="s">
        <v>220</v>
      </c>
      <c r="E18" s="3">
        <v>2299</v>
      </c>
      <c r="F18" s="3">
        <v>1585</v>
      </c>
      <c r="G18">
        <v>4.5999999999999996</v>
      </c>
      <c r="H18">
        <v>804</v>
      </c>
      <c r="I18" t="s">
        <v>227</v>
      </c>
      <c r="M18">
        <f t="shared" si="5"/>
        <v>0</v>
      </c>
      <c r="N18">
        <f t="shared" si="0"/>
        <v>1</v>
      </c>
      <c r="O18">
        <f t="shared" si="1"/>
        <v>0</v>
      </c>
      <c r="P18">
        <f t="shared" si="2"/>
        <v>0</v>
      </c>
      <c r="Q18">
        <f t="shared" si="3"/>
        <v>0</v>
      </c>
      <c r="R18" s="3">
        <f>((E18-F18)/E18)*100</f>
        <v>31.056981296215746</v>
      </c>
      <c r="S18" t="str">
        <f t="shared" si="4"/>
        <v>1500+</v>
      </c>
    </row>
    <row r="19" spans="1:19" x14ac:dyDescent="0.25">
      <c r="A19" t="s">
        <v>71</v>
      </c>
      <c r="B19" t="s">
        <v>171</v>
      </c>
      <c r="C19" t="s">
        <v>216</v>
      </c>
      <c r="D19" t="s">
        <v>222</v>
      </c>
      <c r="E19" s="3">
        <v>3953</v>
      </c>
      <c r="F19" s="3">
        <v>3387</v>
      </c>
      <c r="G19">
        <v>4.5999999999999996</v>
      </c>
      <c r="H19">
        <v>491</v>
      </c>
      <c r="I19" t="s">
        <v>223</v>
      </c>
      <c r="M19">
        <f t="shared" si="5"/>
        <v>0</v>
      </c>
      <c r="N19">
        <f t="shared" si="0"/>
        <v>0</v>
      </c>
      <c r="O19">
        <f t="shared" si="1"/>
        <v>0</v>
      </c>
      <c r="P19">
        <f t="shared" si="2"/>
        <v>0</v>
      </c>
      <c r="Q19">
        <f t="shared" si="3"/>
        <v>1</v>
      </c>
      <c r="R19" s="3">
        <f>((E19-F19)/E19)*100</f>
        <v>14.318239311915001</v>
      </c>
      <c r="S19" t="str">
        <f t="shared" si="4"/>
        <v>1500+</v>
      </c>
    </row>
    <row r="20" spans="1:19" x14ac:dyDescent="0.25">
      <c r="A20" t="s">
        <v>79</v>
      </c>
      <c r="B20" t="s">
        <v>179</v>
      </c>
      <c r="C20" t="s">
        <v>211</v>
      </c>
      <c r="D20" t="s">
        <v>219</v>
      </c>
      <c r="E20" s="3">
        <v>2698</v>
      </c>
      <c r="F20" s="3">
        <v>1988</v>
      </c>
      <c r="G20">
        <v>4.5999999999999996</v>
      </c>
      <c r="H20">
        <v>860</v>
      </c>
      <c r="I20" t="s">
        <v>233</v>
      </c>
      <c r="M20">
        <f t="shared" si="5"/>
        <v>0</v>
      </c>
      <c r="N20">
        <f t="shared" si="0"/>
        <v>0</v>
      </c>
      <c r="O20">
        <f t="shared" si="1"/>
        <v>1</v>
      </c>
      <c r="P20">
        <f t="shared" si="2"/>
        <v>0</v>
      </c>
      <c r="Q20">
        <f t="shared" si="3"/>
        <v>0</v>
      </c>
      <c r="R20" s="3">
        <f>((E20-F20)/E20)*100</f>
        <v>26.315789473684209</v>
      </c>
      <c r="S20" t="str">
        <f t="shared" si="4"/>
        <v>1500+</v>
      </c>
    </row>
    <row r="21" spans="1:19" x14ac:dyDescent="0.25">
      <c r="A21" t="s">
        <v>94</v>
      </c>
      <c r="B21" t="s">
        <v>194</v>
      </c>
      <c r="C21" t="s">
        <v>209</v>
      </c>
      <c r="D21" t="s">
        <v>218</v>
      </c>
      <c r="E21" s="3">
        <v>1720</v>
      </c>
      <c r="F21" s="3">
        <v>1398</v>
      </c>
      <c r="G21">
        <v>4.5999999999999996</v>
      </c>
      <c r="H21">
        <v>83</v>
      </c>
      <c r="I21" t="s">
        <v>227</v>
      </c>
      <c r="M21">
        <f t="shared" si="5"/>
        <v>0</v>
      </c>
      <c r="N21">
        <f t="shared" si="0"/>
        <v>1</v>
      </c>
      <c r="O21">
        <f t="shared" si="1"/>
        <v>0</v>
      </c>
      <c r="P21">
        <f t="shared" si="2"/>
        <v>0</v>
      </c>
      <c r="Q21">
        <f t="shared" si="3"/>
        <v>0</v>
      </c>
      <c r="R21" s="3">
        <f>((E21-F21)/E21)*100</f>
        <v>18.720930232558139</v>
      </c>
      <c r="S21" t="str">
        <f t="shared" si="4"/>
        <v>1000-1499</v>
      </c>
    </row>
    <row r="22" spans="1:19" x14ac:dyDescent="0.25">
      <c r="A22" t="s">
        <v>106</v>
      </c>
      <c r="B22" t="s">
        <v>206</v>
      </c>
      <c r="C22" t="s">
        <v>211</v>
      </c>
      <c r="D22" t="s">
        <v>220</v>
      </c>
      <c r="E22" s="3">
        <v>4659</v>
      </c>
      <c r="F22" s="3">
        <v>3515</v>
      </c>
      <c r="G22">
        <v>4.5999999999999996</v>
      </c>
      <c r="H22">
        <v>299</v>
      </c>
      <c r="I22" t="s">
        <v>223</v>
      </c>
      <c r="J22" t="s">
        <v>286</v>
      </c>
      <c r="K22" t="s">
        <v>287</v>
      </c>
      <c r="M22">
        <f t="shared" si="5"/>
        <v>1</v>
      </c>
      <c r="N22">
        <f t="shared" si="0"/>
        <v>0</v>
      </c>
      <c r="O22">
        <f t="shared" si="1"/>
        <v>0</v>
      </c>
      <c r="P22">
        <f t="shared" si="2"/>
        <v>1</v>
      </c>
      <c r="Q22">
        <f t="shared" si="3"/>
        <v>1</v>
      </c>
      <c r="R22" s="3">
        <f>((E22-F22)/E22)*100</f>
        <v>24.554625456106461</v>
      </c>
      <c r="S22" t="str">
        <f t="shared" si="4"/>
        <v>1500+</v>
      </c>
    </row>
    <row r="23" spans="1:19" x14ac:dyDescent="0.25">
      <c r="A23" t="s">
        <v>98</v>
      </c>
      <c r="B23" t="s">
        <v>198</v>
      </c>
      <c r="C23" t="s">
        <v>212</v>
      </c>
      <c r="D23" t="s">
        <v>221</v>
      </c>
      <c r="E23" s="3">
        <v>4070</v>
      </c>
      <c r="F23" s="3">
        <v>2720</v>
      </c>
      <c r="G23">
        <v>4.5</v>
      </c>
      <c r="H23">
        <v>103</v>
      </c>
      <c r="I23" t="s">
        <v>233</v>
      </c>
      <c r="J23" t="s">
        <v>286</v>
      </c>
      <c r="K23" t="s">
        <v>290</v>
      </c>
      <c r="L23" t="s">
        <v>288</v>
      </c>
      <c r="M23">
        <f t="shared" si="5"/>
        <v>0</v>
      </c>
      <c r="N23">
        <f t="shared" si="0"/>
        <v>1</v>
      </c>
      <c r="O23">
        <f t="shared" si="1"/>
        <v>1</v>
      </c>
      <c r="P23">
        <f t="shared" si="2"/>
        <v>1</v>
      </c>
      <c r="Q23">
        <f t="shared" si="3"/>
        <v>1</v>
      </c>
      <c r="R23" s="3">
        <f>((E23-F23)/E23)*100</f>
        <v>33.169533169533175</v>
      </c>
      <c r="S23" t="str">
        <f t="shared" si="4"/>
        <v>1500+</v>
      </c>
    </row>
    <row r="24" spans="1:19" x14ac:dyDescent="0.25">
      <c r="A24" t="s">
        <v>19</v>
      </c>
      <c r="B24" t="s">
        <v>119</v>
      </c>
      <c r="C24" t="s">
        <v>214</v>
      </c>
      <c r="D24" t="s">
        <v>221</v>
      </c>
      <c r="E24" s="3">
        <v>1643</v>
      </c>
      <c r="F24" s="3">
        <v>1341</v>
      </c>
      <c r="G24">
        <v>4.4000000000000004</v>
      </c>
      <c r="H24">
        <v>561</v>
      </c>
      <c r="I24" t="s">
        <v>223</v>
      </c>
      <c r="J24" t="s">
        <v>286</v>
      </c>
      <c r="K24" t="s">
        <v>289</v>
      </c>
      <c r="M24">
        <f t="shared" si="5"/>
        <v>0</v>
      </c>
      <c r="N24">
        <f t="shared" si="0"/>
        <v>0</v>
      </c>
      <c r="O24">
        <f t="shared" si="1"/>
        <v>1</v>
      </c>
      <c r="P24">
        <f t="shared" si="2"/>
        <v>1</v>
      </c>
      <c r="Q24">
        <f t="shared" si="3"/>
        <v>1</v>
      </c>
      <c r="R24" s="3">
        <f>((E24-F24)/E24)*100</f>
        <v>18.381010346926356</v>
      </c>
      <c r="S24" t="str">
        <f t="shared" si="4"/>
        <v>1000-1499</v>
      </c>
    </row>
    <row r="25" spans="1:19" x14ac:dyDescent="0.25">
      <c r="A25" t="s">
        <v>22</v>
      </c>
      <c r="B25" t="s">
        <v>122</v>
      </c>
      <c r="C25" t="s">
        <v>209</v>
      </c>
      <c r="D25" t="s">
        <v>219</v>
      </c>
      <c r="E25" s="3">
        <v>4898</v>
      </c>
      <c r="F25" s="3">
        <v>3756</v>
      </c>
      <c r="G25">
        <v>4.4000000000000004</v>
      </c>
      <c r="H25">
        <v>358</v>
      </c>
      <c r="I25" t="s">
        <v>233</v>
      </c>
      <c r="M25">
        <f t="shared" si="5"/>
        <v>0</v>
      </c>
      <c r="N25">
        <f t="shared" si="0"/>
        <v>0</v>
      </c>
      <c r="O25">
        <f t="shared" si="1"/>
        <v>1</v>
      </c>
      <c r="P25">
        <f t="shared" si="2"/>
        <v>0</v>
      </c>
      <c r="Q25">
        <f t="shared" si="3"/>
        <v>0</v>
      </c>
      <c r="R25" s="3">
        <f>((E25-F25)/E25)*100</f>
        <v>23.315639036341366</v>
      </c>
      <c r="S25" t="str">
        <f t="shared" si="4"/>
        <v>1500+</v>
      </c>
    </row>
    <row r="26" spans="1:19" x14ac:dyDescent="0.25">
      <c r="A26" t="s">
        <v>45</v>
      </c>
      <c r="B26" t="s">
        <v>145</v>
      </c>
      <c r="C26" t="s">
        <v>211</v>
      </c>
      <c r="D26" t="s">
        <v>220</v>
      </c>
      <c r="E26" s="3">
        <v>529</v>
      </c>
      <c r="F26" s="3">
        <v>394</v>
      </c>
      <c r="G26">
        <v>4.4000000000000004</v>
      </c>
      <c r="H26">
        <v>662</v>
      </c>
      <c r="I26" t="s">
        <v>227</v>
      </c>
      <c r="J26" t="s">
        <v>286</v>
      </c>
      <c r="K26" t="s">
        <v>289</v>
      </c>
      <c r="M26">
        <f t="shared" si="5"/>
        <v>0</v>
      </c>
      <c r="N26">
        <f t="shared" si="0"/>
        <v>1</v>
      </c>
      <c r="O26">
        <f t="shared" si="1"/>
        <v>1</v>
      </c>
      <c r="P26">
        <f t="shared" si="2"/>
        <v>1</v>
      </c>
      <c r="Q26">
        <f t="shared" si="3"/>
        <v>0</v>
      </c>
      <c r="R26" s="3">
        <f>((E26-F26)/E26)*100</f>
        <v>25.519848771266538</v>
      </c>
      <c r="S26" t="str">
        <f t="shared" si="4"/>
        <v>&lt;500</v>
      </c>
    </row>
    <row r="27" spans="1:19" x14ac:dyDescent="0.25">
      <c r="A27" t="s">
        <v>78</v>
      </c>
      <c r="B27" t="s">
        <v>178</v>
      </c>
      <c r="C27" t="s">
        <v>214</v>
      </c>
      <c r="D27" t="s">
        <v>219</v>
      </c>
      <c r="E27" s="3">
        <v>4067</v>
      </c>
      <c r="F27" s="3">
        <v>3657</v>
      </c>
      <c r="G27">
        <v>4.3</v>
      </c>
      <c r="H27">
        <v>998</v>
      </c>
      <c r="I27" t="s">
        <v>223</v>
      </c>
      <c r="J27" t="s">
        <v>286</v>
      </c>
      <c r="K27" t="s">
        <v>290</v>
      </c>
      <c r="M27">
        <f t="shared" si="5"/>
        <v>0</v>
      </c>
      <c r="N27">
        <f t="shared" si="0"/>
        <v>1</v>
      </c>
      <c r="O27">
        <f t="shared" si="1"/>
        <v>0</v>
      </c>
      <c r="P27">
        <f t="shared" si="2"/>
        <v>1</v>
      </c>
      <c r="Q27">
        <f t="shared" si="3"/>
        <v>1</v>
      </c>
      <c r="R27" s="3">
        <f>((E27-F27)/E27)*100</f>
        <v>10.081140890090975</v>
      </c>
      <c r="S27" t="str">
        <f t="shared" si="4"/>
        <v>1500+</v>
      </c>
    </row>
    <row r="28" spans="1:19" x14ac:dyDescent="0.25">
      <c r="A28" t="s">
        <v>81</v>
      </c>
      <c r="B28" t="s">
        <v>181</v>
      </c>
      <c r="C28" t="s">
        <v>216</v>
      </c>
      <c r="D28" t="s">
        <v>220</v>
      </c>
      <c r="E28" s="3">
        <v>2790</v>
      </c>
      <c r="F28" s="3">
        <v>1520</v>
      </c>
      <c r="G28">
        <v>4.3</v>
      </c>
      <c r="H28">
        <v>292</v>
      </c>
      <c r="I28" t="s">
        <v>223</v>
      </c>
      <c r="M28">
        <f t="shared" si="5"/>
        <v>0</v>
      </c>
      <c r="N28">
        <f t="shared" si="0"/>
        <v>0</v>
      </c>
      <c r="O28">
        <f t="shared" si="1"/>
        <v>0</v>
      </c>
      <c r="P28">
        <f t="shared" si="2"/>
        <v>0</v>
      </c>
      <c r="Q28">
        <f t="shared" si="3"/>
        <v>1</v>
      </c>
      <c r="R28" s="3">
        <f>((E28-F28)/E28)*100</f>
        <v>45.519713261648747</v>
      </c>
      <c r="S28" t="str">
        <f t="shared" si="4"/>
        <v>1500+</v>
      </c>
    </row>
    <row r="29" spans="1:19" x14ac:dyDescent="0.25">
      <c r="A29" t="s">
        <v>85</v>
      </c>
      <c r="B29" t="s">
        <v>185</v>
      </c>
      <c r="C29" t="s">
        <v>215</v>
      </c>
      <c r="D29" t="s">
        <v>221</v>
      </c>
      <c r="E29" s="3">
        <v>4466</v>
      </c>
      <c r="F29" s="3">
        <v>3284</v>
      </c>
      <c r="G29">
        <v>4.3</v>
      </c>
      <c r="H29">
        <v>788</v>
      </c>
      <c r="I29" t="s">
        <v>225</v>
      </c>
      <c r="J29" t="s">
        <v>290</v>
      </c>
      <c r="K29" t="s">
        <v>286</v>
      </c>
      <c r="M29">
        <f t="shared" si="5"/>
        <v>1</v>
      </c>
      <c r="N29">
        <f t="shared" si="0"/>
        <v>1</v>
      </c>
      <c r="O29">
        <f t="shared" si="1"/>
        <v>0</v>
      </c>
      <c r="P29">
        <f t="shared" si="2"/>
        <v>1</v>
      </c>
      <c r="Q29">
        <f t="shared" si="3"/>
        <v>0</v>
      </c>
      <c r="R29" s="3">
        <f>((E29-F29)/E29)*100</f>
        <v>26.466636811464401</v>
      </c>
      <c r="S29" t="str">
        <f t="shared" si="4"/>
        <v>1500+</v>
      </c>
    </row>
    <row r="30" spans="1:19" x14ac:dyDescent="0.25">
      <c r="A30" t="s">
        <v>86</v>
      </c>
      <c r="B30" t="s">
        <v>186</v>
      </c>
      <c r="C30" t="s">
        <v>210</v>
      </c>
      <c r="D30" t="s">
        <v>220</v>
      </c>
      <c r="E30" s="3">
        <v>2976</v>
      </c>
      <c r="F30" s="3">
        <v>2898</v>
      </c>
      <c r="G30">
        <v>4.3</v>
      </c>
      <c r="H30">
        <v>139</v>
      </c>
      <c r="I30" t="s">
        <v>225</v>
      </c>
      <c r="J30" t="s">
        <v>288</v>
      </c>
      <c r="K30" t="s">
        <v>289</v>
      </c>
      <c r="M30">
        <f t="shared" si="5"/>
        <v>1</v>
      </c>
      <c r="N30">
        <f t="shared" si="0"/>
        <v>0</v>
      </c>
      <c r="O30">
        <f t="shared" si="1"/>
        <v>1</v>
      </c>
      <c r="P30">
        <f t="shared" si="2"/>
        <v>0</v>
      </c>
      <c r="Q30">
        <f t="shared" si="3"/>
        <v>1</v>
      </c>
      <c r="R30" s="3">
        <f>((E30-F30)/E30)*100</f>
        <v>2.620967741935484</v>
      </c>
      <c r="S30" t="str">
        <f t="shared" si="4"/>
        <v>1500+</v>
      </c>
    </row>
    <row r="31" spans="1:19" x14ac:dyDescent="0.25">
      <c r="A31" t="s">
        <v>96</v>
      </c>
      <c r="B31" t="s">
        <v>196</v>
      </c>
      <c r="C31" t="s">
        <v>214</v>
      </c>
      <c r="D31" t="s">
        <v>222</v>
      </c>
      <c r="E31" s="3">
        <v>826</v>
      </c>
      <c r="F31" s="3">
        <v>555</v>
      </c>
      <c r="G31">
        <v>4.3</v>
      </c>
      <c r="H31">
        <v>628</v>
      </c>
      <c r="I31" t="s">
        <v>225</v>
      </c>
      <c r="J31" t="s">
        <v>288</v>
      </c>
      <c r="K31" t="s">
        <v>286</v>
      </c>
      <c r="M31">
        <f t="shared" si="5"/>
        <v>1</v>
      </c>
      <c r="N31">
        <f t="shared" si="0"/>
        <v>0</v>
      </c>
      <c r="O31">
        <f t="shared" si="1"/>
        <v>0</v>
      </c>
      <c r="P31">
        <f t="shared" si="2"/>
        <v>1</v>
      </c>
      <c r="Q31">
        <f t="shared" si="3"/>
        <v>1</v>
      </c>
      <c r="R31" s="3">
        <f>((E31-F31)/E31)*100</f>
        <v>32.808716707021787</v>
      </c>
      <c r="S31" t="str">
        <f t="shared" si="4"/>
        <v>500-999</v>
      </c>
    </row>
    <row r="32" spans="1:19" x14ac:dyDescent="0.25">
      <c r="A32" t="s">
        <v>40</v>
      </c>
      <c r="B32" t="s">
        <v>140</v>
      </c>
      <c r="C32" t="s">
        <v>216</v>
      </c>
      <c r="D32" t="s">
        <v>221</v>
      </c>
      <c r="E32" s="3">
        <v>3742</v>
      </c>
      <c r="F32" s="3">
        <v>3424</v>
      </c>
      <c r="G32">
        <v>4.2</v>
      </c>
      <c r="H32">
        <v>317</v>
      </c>
      <c r="I32" t="s">
        <v>233</v>
      </c>
      <c r="J32" t="s">
        <v>287</v>
      </c>
      <c r="K32" t="s">
        <v>286</v>
      </c>
      <c r="L32" t="s">
        <v>290</v>
      </c>
      <c r="M32">
        <f t="shared" si="5"/>
        <v>1</v>
      </c>
      <c r="N32">
        <f t="shared" si="0"/>
        <v>1</v>
      </c>
      <c r="O32">
        <f t="shared" si="1"/>
        <v>1</v>
      </c>
      <c r="P32">
        <f t="shared" si="2"/>
        <v>1</v>
      </c>
      <c r="Q32">
        <f t="shared" si="3"/>
        <v>0</v>
      </c>
      <c r="R32" s="3">
        <f>((E32-F32)/E32)*100</f>
        <v>8.4981293425975419</v>
      </c>
      <c r="S32" t="str">
        <f t="shared" si="4"/>
        <v>1500+</v>
      </c>
    </row>
    <row r="33" spans="1:23" x14ac:dyDescent="0.25">
      <c r="A33" t="s">
        <v>56</v>
      </c>
      <c r="B33" t="s">
        <v>156</v>
      </c>
      <c r="C33" t="s">
        <v>212</v>
      </c>
      <c r="D33" t="s">
        <v>219</v>
      </c>
      <c r="E33" s="3">
        <v>3172</v>
      </c>
      <c r="F33" s="3">
        <v>2298</v>
      </c>
      <c r="G33">
        <v>4.2</v>
      </c>
      <c r="H33">
        <v>577</v>
      </c>
      <c r="I33" t="s">
        <v>227</v>
      </c>
      <c r="J33" t="s">
        <v>286</v>
      </c>
      <c r="M33">
        <f t="shared" si="5"/>
        <v>0</v>
      </c>
      <c r="N33">
        <f t="shared" si="0"/>
        <v>1</v>
      </c>
      <c r="O33">
        <f t="shared" si="1"/>
        <v>0</v>
      </c>
      <c r="P33">
        <f t="shared" si="2"/>
        <v>1</v>
      </c>
      <c r="Q33">
        <f t="shared" si="3"/>
        <v>0</v>
      </c>
      <c r="R33" s="3">
        <f>((E33-F33)/E33)*100</f>
        <v>27.553593947036571</v>
      </c>
      <c r="S33" t="str">
        <f t="shared" si="4"/>
        <v>1500+</v>
      </c>
    </row>
    <row r="34" spans="1:23" x14ac:dyDescent="0.25">
      <c r="A34" t="s">
        <v>59</v>
      </c>
      <c r="B34" t="s">
        <v>159</v>
      </c>
      <c r="C34" t="s">
        <v>215</v>
      </c>
      <c r="D34" t="s">
        <v>219</v>
      </c>
      <c r="E34" s="3">
        <v>2824</v>
      </c>
      <c r="F34" s="3">
        <v>1719</v>
      </c>
      <c r="G34">
        <v>4.2</v>
      </c>
      <c r="H34">
        <v>644</v>
      </c>
      <c r="I34" t="s">
        <v>225</v>
      </c>
      <c r="J34" t="s">
        <v>290</v>
      </c>
      <c r="K34" t="s">
        <v>289</v>
      </c>
      <c r="M34">
        <f t="shared" si="5"/>
        <v>1</v>
      </c>
      <c r="N34">
        <f t="shared" si="0"/>
        <v>1</v>
      </c>
      <c r="O34">
        <f t="shared" si="1"/>
        <v>1</v>
      </c>
      <c r="P34">
        <f t="shared" si="2"/>
        <v>0</v>
      </c>
      <c r="Q34">
        <f t="shared" si="3"/>
        <v>0</v>
      </c>
      <c r="R34" s="3">
        <f>((E34-F34)/E34)*100</f>
        <v>39.128895184135978</v>
      </c>
      <c r="S34" t="str">
        <f t="shared" si="4"/>
        <v>1500+</v>
      </c>
    </row>
    <row r="35" spans="1:23" x14ac:dyDescent="0.25">
      <c r="A35" t="s">
        <v>83</v>
      </c>
      <c r="B35" t="s">
        <v>183</v>
      </c>
      <c r="C35" t="s">
        <v>212</v>
      </c>
      <c r="D35" t="s">
        <v>221</v>
      </c>
      <c r="E35" s="3">
        <v>2493</v>
      </c>
      <c r="F35" s="3">
        <v>1816</v>
      </c>
      <c r="G35">
        <v>4.2</v>
      </c>
      <c r="H35">
        <v>387</v>
      </c>
      <c r="I35" t="s">
        <v>223</v>
      </c>
      <c r="J35" t="s">
        <v>289</v>
      </c>
      <c r="K35" t="s">
        <v>290</v>
      </c>
      <c r="L35" t="s">
        <v>286</v>
      </c>
      <c r="M35">
        <f t="shared" si="5"/>
        <v>0</v>
      </c>
      <c r="N35">
        <f t="shared" si="0"/>
        <v>1</v>
      </c>
      <c r="O35">
        <f t="shared" si="1"/>
        <v>1</v>
      </c>
      <c r="P35">
        <f t="shared" si="2"/>
        <v>1</v>
      </c>
      <c r="Q35">
        <f t="shared" si="3"/>
        <v>1</v>
      </c>
      <c r="R35" s="3">
        <f>((E35-F35)/E35)*100</f>
        <v>27.156036903329323</v>
      </c>
      <c r="S35" t="str">
        <f t="shared" si="4"/>
        <v>1500+</v>
      </c>
    </row>
    <row r="36" spans="1:23" x14ac:dyDescent="0.25">
      <c r="A36" t="s">
        <v>91</v>
      </c>
      <c r="B36" t="s">
        <v>191</v>
      </c>
      <c r="C36" t="s">
        <v>209</v>
      </c>
      <c r="D36" t="s">
        <v>221</v>
      </c>
      <c r="E36" s="3">
        <v>2228</v>
      </c>
      <c r="F36" s="3">
        <v>1637</v>
      </c>
      <c r="G36">
        <v>4.2</v>
      </c>
      <c r="H36">
        <v>170</v>
      </c>
      <c r="I36" t="s">
        <v>227</v>
      </c>
      <c r="J36" t="s">
        <v>287</v>
      </c>
      <c r="M36">
        <f t="shared" si="5"/>
        <v>1</v>
      </c>
      <c r="N36">
        <f t="shared" si="0"/>
        <v>1</v>
      </c>
      <c r="O36">
        <f t="shared" si="1"/>
        <v>0</v>
      </c>
      <c r="P36">
        <f t="shared" si="2"/>
        <v>0</v>
      </c>
      <c r="Q36">
        <f t="shared" si="3"/>
        <v>0</v>
      </c>
      <c r="R36" s="3">
        <f>((E36-F36)/E36)*100</f>
        <v>26.526032315978455</v>
      </c>
      <c r="S36" t="str">
        <f t="shared" si="4"/>
        <v>1500+</v>
      </c>
      <c r="V36" s="5" t="s">
        <v>284</v>
      </c>
      <c r="W36" t="s">
        <v>298</v>
      </c>
    </row>
    <row r="37" spans="1:23" x14ac:dyDescent="0.25">
      <c r="A37" t="s">
        <v>93</v>
      </c>
      <c r="B37" t="s">
        <v>193</v>
      </c>
      <c r="C37" t="s">
        <v>212</v>
      </c>
      <c r="D37" t="s">
        <v>219</v>
      </c>
      <c r="E37" s="3">
        <v>4219</v>
      </c>
      <c r="F37" s="3">
        <v>3878</v>
      </c>
      <c r="G37">
        <v>4.2</v>
      </c>
      <c r="H37">
        <v>956</v>
      </c>
      <c r="I37" t="s">
        <v>223</v>
      </c>
      <c r="J37" t="s">
        <v>290</v>
      </c>
      <c r="K37" t="s">
        <v>286</v>
      </c>
      <c r="M37">
        <f t="shared" si="5"/>
        <v>0</v>
      </c>
      <c r="N37">
        <f t="shared" si="0"/>
        <v>1</v>
      </c>
      <c r="O37">
        <f t="shared" si="1"/>
        <v>0</v>
      </c>
      <c r="P37">
        <f t="shared" si="2"/>
        <v>1</v>
      </c>
      <c r="Q37">
        <f t="shared" si="3"/>
        <v>1</v>
      </c>
      <c r="R37" s="3">
        <f>((E37-F37)/E37)*100</f>
        <v>8.0824840009480923</v>
      </c>
      <c r="S37" t="str">
        <f t="shared" si="4"/>
        <v>1500+</v>
      </c>
      <c r="V37" s="6" t="s">
        <v>222</v>
      </c>
      <c r="W37" s="7">
        <v>27.383372545019025</v>
      </c>
    </row>
    <row r="38" spans="1:23" x14ac:dyDescent="0.25">
      <c r="A38" t="s">
        <v>16</v>
      </c>
      <c r="B38" t="s">
        <v>116</v>
      </c>
      <c r="C38" t="s">
        <v>210</v>
      </c>
      <c r="D38" t="s">
        <v>219</v>
      </c>
      <c r="E38" s="3">
        <v>1084</v>
      </c>
      <c r="F38" s="3">
        <v>723</v>
      </c>
      <c r="G38">
        <v>4.0999999999999996</v>
      </c>
      <c r="H38">
        <v>556</v>
      </c>
      <c r="I38" t="s">
        <v>227</v>
      </c>
      <c r="J38" t="s">
        <v>286</v>
      </c>
      <c r="M38">
        <f t="shared" si="5"/>
        <v>0</v>
      </c>
      <c r="N38">
        <f t="shared" si="0"/>
        <v>1</v>
      </c>
      <c r="O38">
        <f t="shared" si="1"/>
        <v>0</v>
      </c>
      <c r="P38">
        <f t="shared" si="2"/>
        <v>1</v>
      </c>
      <c r="Q38">
        <f t="shared" si="3"/>
        <v>0</v>
      </c>
      <c r="R38" s="3">
        <f>((E38-F38)/E38)*100</f>
        <v>33.302583025830259</v>
      </c>
      <c r="S38" t="str">
        <f t="shared" si="4"/>
        <v>500-999</v>
      </c>
      <c r="V38" s="6" t="s">
        <v>221</v>
      </c>
      <c r="W38" s="7">
        <v>25.533681648648226</v>
      </c>
    </row>
    <row r="39" spans="1:23" ht="15" hidden="1" customHeight="1" x14ac:dyDescent="0.25">
      <c r="A39" t="s">
        <v>77</v>
      </c>
      <c r="B39" t="s">
        <v>177</v>
      </c>
      <c r="C39" t="s">
        <v>211</v>
      </c>
      <c r="D39" t="s">
        <v>219</v>
      </c>
      <c r="E39" s="3">
        <v>1064</v>
      </c>
      <c r="F39" s="3">
        <v>755</v>
      </c>
      <c r="G39">
        <v>4.0999999999999996</v>
      </c>
      <c r="H39">
        <v>22</v>
      </c>
      <c r="I39" t="s">
        <v>251</v>
      </c>
      <c r="J39" t="s">
        <v>287</v>
      </c>
      <c r="K39" t="s">
        <v>290</v>
      </c>
      <c r="L39" t="s">
        <v>289</v>
      </c>
      <c r="R39" s="3">
        <f>((E39-F39)/E39)*100</f>
        <v>29.041353383458645</v>
      </c>
      <c r="V39" s="6" t="s">
        <v>219</v>
      </c>
      <c r="W39" s="7">
        <v>29.434520927524719</v>
      </c>
    </row>
    <row r="40" spans="1:23" x14ac:dyDescent="0.25">
      <c r="A40" t="s">
        <v>42</v>
      </c>
      <c r="B40" t="s">
        <v>142</v>
      </c>
      <c r="C40" t="s">
        <v>212</v>
      </c>
      <c r="D40" t="s">
        <v>221</v>
      </c>
      <c r="E40" s="3">
        <v>4950</v>
      </c>
      <c r="F40" s="3">
        <v>3661</v>
      </c>
      <c r="G40">
        <v>4</v>
      </c>
      <c r="H40">
        <v>836</v>
      </c>
      <c r="I40" t="s">
        <v>223</v>
      </c>
      <c r="M40">
        <f t="shared" ref="M40:M83" si="7">COUNTIFS(I40:L40, "*S*",I40:L40, "&lt;&gt;*XS*")</f>
        <v>0</v>
      </c>
      <c r="N40">
        <f t="shared" ref="N40:N83" si="8">COUNTIF(A40:A139,"*M*")</f>
        <v>0</v>
      </c>
      <c r="O40">
        <f t="shared" ref="O40:O83" si="9">COUNTIFS(A40:A139, "*L*", A40:A139, "&lt;&gt;*XL*", A40:A139, "&lt;&gt;*XXL*")</f>
        <v>0</v>
      </c>
      <c r="P40">
        <f t="shared" ref="P40:P83" si="10">COUNTIFS(I40:L40, "*XL*", I40:L40, "&lt;&gt;*XXL*")</f>
        <v>0</v>
      </c>
      <c r="Q40">
        <f t="shared" ref="Q40:Q83" si="11">COUNTIF(A40:A139, "*XXL*")</f>
        <v>0</v>
      </c>
      <c r="R40" s="3">
        <f>((E40-F40)/E40)*100</f>
        <v>26.040404040404042</v>
      </c>
      <c r="S40" t="str">
        <f t="shared" ref="S40:S83" si="12">IF(F40 &lt; 500, "&lt;500", IF(F40&lt; 1000, "500-999", IF(F40 &lt; 1500, "1000-1499", "1500+")))</f>
        <v>1500+</v>
      </c>
      <c r="V40" s="6" t="s">
        <v>218</v>
      </c>
      <c r="W40" s="7">
        <v>26.37693604243832</v>
      </c>
    </row>
    <row r="41" spans="1:23" x14ac:dyDescent="0.25">
      <c r="A41" t="s">
        <v>52</v>
      </c>
      <c r="B41" t="s">
        <v>152</v>
      </c>
      <c r="C41" t="s">
        <v>216</v>
      </c>
      <c r="D41" t="s">
        <v>217</v>
      </c>
      <c r="E41" s="3">
        <v>2639</v>
      </c>
      <c r="F41" s="3">
        <v>2224</v>
      </c>
      <c r="G41">
        <v>4</v>
      </c>
      <c r="H41">
        <v>281</v>
      </c>
      <c r="I41" t="s">
        <v>225</v>
      </c>
      <c r="M41">
        <f t="shared" si="7"/>
        <v>1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 s="3">
        <f>((E41-F41)/E41)*100</f>
        <v>15.72565365668814</v>
      </c>
      <c r="S41" t="str">
        <f t="shared" si="12"/>
        <v>1500+</v>
      </c>
      <c r="V41" s="6" t="s">
        <v>220</v>
      </c>
      <c r="W41" s="7">
        <v>23.144727461887882</v>
      </c>
    </row>
    <row r="42" spans="1:23" x14ac:dyDescent="0.25">
      <c r="A42" t="s">
        <v>53</v>
      </c>
      <c r="B42" t="s">
        <v>153</v>
      </c>
      <c r="C42" t="s">
        <v>211</v>
      </c>
      <c r="D42" t="s">
        <v>220</v>
      </c>
      <c r="E42" s="3">
        <v>3069</v>
      </c>
      <c r="F42" s="3">
        <v>2126</v>
      </c>
      <c r="G42">
        <v>4</v>
      </c>
      <c r="H42">
        <v>533</v>
      </c>
      <c r="I42" t="s">
        <v>251</v>
      </c>
      <c r="M42">
        <f t="shared" si="7"/>
        <v>0</v>
      </c>
      <c r="N42">
        <f t="shared" si="8"/>
        <v>0</v>
      </c>
      <c r="O42">
        <f t="shared" si="9"/>
        <v>0</v>
      </c>
      <c r="P42">
        <f t="shared" si="10"/>
        <v>1</v>
      </c>
      <c r="Q42">
        <f t="shared" si="11"/>
        <v>0</v>
      </c>
      <c r="R42" s="3">
        <f>((E42-F42)/E42)*100</f>
        <v>30.726621049201697</v>
      </c>
      <c r="S42" t="str">
        <f t="shared" si="12"/>
        <v>1500+</v>
      </c>
      <c r="V42" s="6" t="s">
        <v>217</v>
      </c>
      <c r="W42" s="7">
        <v>25.922024072209076</v>
      </c>
    </row>
    <row r="43" spans="1:23" x14ac:dyDescent="0.25">
      <c r="A43" t="s">
        <v>63</v>
      </c>
      <c r="B43" t="s">
        <v>163</v>
      </c>
      <c r="C43" t="s">
        <v>215</v>
      </c>
      <c r="D43" t="s">
        <v>222</v>
      </c>
      <c r="E43" s="3">
        <v>4851</v>
      </c>
      <c r="F43" s="3">
        <v>2512</v>
      </c>
      <c r="G43">
        <v>4</v>
      </c>
      <c r="H43">
        <v>982</v>
      </c>
      <c r="I43" t="s">
        <v>223</v>
      </c>
      <c r="J43" t="s">
        <v>286</v>
      </c>
      <c r="K43" t="s">
        <v>289</v>
      </c>
      <c r="L43" t="s">
        <v>290</v>
      </c>
      <c r="M43">
        <f t="shared" si="7"/>
        <v>0</v>
      </c>
      <c r="N43">
        <f t="shared" si="8"/>
        <v>0</v>
      </c>
      <c r="O43">
        <f t="shared" si="9"/>
        <v>0</v>
      </c>
      <c r="P43">
        <f t="shared" si="10"/>
        <v>1</v>
      </c>
      <c r="Q43">
        <f t="shared" si="11"/>
        <v>0</v>
      </c>
      <c r="R43" s="3">
        <f>((E43-F43)/E43)*100</f>
        <v>48.216862502576788</v>
      </c>
      <c r="S43" t="str">
        <f t="shared" si="12"/>
        <v>1500+</v>
      </c>
    </row>
    <row r="44" spans="1:23" x14ac:dyDescent="0.25">
      <c r="A44" t="s">
        <v>69</v>
      </c>
      <c r="B44" t="s">
        <v>169</v>
      </c>
      <c r="C44" t="s">
        <v>215</v>
      </c>
      <c r="D44" t="s">
        <v>218</v>
      </c>
      <c r="E44" s="3">
        <v>720</v>
      </c>
      <c r="F44" s="3">
        <v>469</v>
      </c>
      <c r="G44">
        <v>4</v>
      </c>
      <c r="H44">
        <v>688</v>
      </c>
      <c r="I44" t="s">
        <v>225</v>
      </c>
      <c r="M44">
        <f t="shared" si="7"/>
        <v>1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 s="3">
        <f>((E44-F44)/E44)*100</f>
        <v>34.861111111111107</v>
      </c>
      <c r="S44" t="str">
        <f t="shared" si="12"/>
        <v>&lt;500</v>
      </c>
    </row>
    <row r="45" spans="1:23" x14ac:dyDescent="0.25">
      <c r="A45" t="s">
        <v>76</v>
      </c>
      <c r="B45" t="s">
        <v>176</v>
      </c>
      <c r="C45" t="s">
        <v>209</v>
      </c>
      <c r="D45" t="s">
        <v>219</v>
      </c>
      <c r="E45" s="3">
        <v>2970</v>
      </c>
      <c r="F45" s="3">
        <v>1519</v>
      </c>
      <c r="G45">
        <v>4</v>
      </c>
      <c r="H45">
        <v>133</v>
      </c>
      <c r="I45" t="s">
        <v>233</v>
      </c>
      <c r="M45">
        <f t="shared" si="7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 s="3">
        <f>((E45-F45)/E45)*100</f>
        <v>48.855218855218858</v>
      </c>
      <c r="S45" t="str">
        <f t="shared" si="12"/>
        <v>1500+</v>
      </c>
    </row>
    <row r="46" spans="1:23" x14ac:dyDescent="0.25">
      <c r="A46" t="s">
        <v>92</v>
      </c>
      <c r="B46" t="s">
        <v>192</v>
      </c>
      <c r="C46" t="s">
        <v>215</v>
      </c>
      <c r="D46" t="s">
        <v>217</v>
      </c>
      <c r="E46" s="3">
        <v>4190</v>
      </c>
      <c r="F46" s="3">
        <v>2729</v>
      </c>
      <c r="G46">
        <v>4</v>
      </c>
      <c r="H46">
        <v>308</v>
      </c>
      <c r="I46" t="s">
        <v>227</v>
      </c>
      <c r="M46">
        <f t="shared" si="7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 s="3">
        <f>((E46-F46)/E46)*100</f>
        <v>34.868735083532222</v>
      </c>
      <c r="S46" t="str">
        <f t="shared" si="12"/>
        <v>1500+</v>
      </c>
    </row>
    <row r="47" spans="1:23" x14ac:dyDescent="0.25">
      <c r="A47" t="s">
        <v>48</v>
      </c>
      <c r="B47" t="s">
        <v>148</v>
      </c>
      <c r="C47" t="s">
        <v>210</v>
      </c>
      <c r="D47" t="s">
        <v>219</v>
      </c>
      <c r="E47" s="3">
        <v>3397</v>
      </c>
      <c r="F47" s="3">
        <v>1750</v>
      </c>
      <c r="G47">
        <v>3.9</v>
      </c>
      <c r="H47">
        <v>905</v>
      </c>
      <c r="I47" t="s">
        <v>223</v>
      </c>
      <c r="J47" t="s">
        <v>290</v>
      </c>
      <c r="K47" t="s">
        <v>287</v>
      </c>
      <c r="L47" t="s">
        <v>289</v>
      </c>
      <c r="M47">
        <f t="shared" si="7"/>
        <v>1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 s="3">
        <f>((E47-F47)/E47)*100</f>
        <v>48.483956432146016</v>
      </c>
      <c r="S47" t="str">
        <f t="shared" si="12"/>
        <v>1500+</v>
      </c>
    </row>
    <row r="48" spans="1:23" x14ac:dyDescent="0.25">
      <c r="A48" t="s">
        <v>57</v>
      </c>
      <c r="B48" t="s">
        <v>157</v>
      </c>
      <c r="C48" t="s">
        <v>211</v>
      </c>
      <c r="D48" t="s">
        <v>219</v>
      </c>
      <c r="E48" s="3">
        <v>1925</v>
      </c>
      <c r="F48" s="3">
        <v>1245</v>
      </c>
      <c r="G48">
        <v>3.9</v>
      </c>
      <c r="H48">
        <v>425</v>
      </c>
      <c r="I48" t="s">
        <v>233</v>
      </c>
      <c r="M48">
        <f t="shared" si="7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 s="3">
        <f>((E48-F48)/E48)*100</f>
        <v>35.324675324675326</v>
      </c>
      <c r="S48" t="str">
        <f t="shared" si="12"/>
        <v>1000-1499</v>
      </c>
    </row>
    <row r="49" spans="1:22" x14ac:dyDescent="0.25">
      <c r="A49" t="s">
        <v>75</v>
      </c>
      <c r="B49" t="s">
        <v>175</v>
      </c>
      <c r="C49" t="s">
        <v>212</v>
      </c>
      <c r="D49" t="s">
        <v>217</v>
      </c>
      <c r="E49" s="3">
        <v>710</v>
      </c>
      <c r="F49" s="3">
        <v>501</v>
      </c>
      <c r="G49">
        <v>3.9</v>
      </c>
      <c r="H49">
        <v>939</v>
      </c>
      <c r="I49" t="s">
        <v>251</v>
      </c>
      <c r="J49" t="s">
        <v>290</v>
      </c>
      <c r="K49" t="s">
        <v>287</v>
      </c>
      <c r="L49" t="s">
        <v>289</v>
      </c>
      <c r="M49">
        <f t="shared" si="7"/>
        <v>1</v>
      </c>
      <c r="N49">
        <f t="shared" si="8"/>
        <v>0</v>
      </c>
      <c r="O49">
        <f t="shared" si="9"/>
        <v>0</v>
      </c>
      <c r="P49">
        <f t="shared" si="10"/>
        <v>1</v>
      </c>
      <c r="Q49">
        <f t="shared" si="11"/>
        <v>0</v>
      </c>
      <c r="R49" s="3">
        <f>((E49-F49)/E49)*100</f>
        <v>29.43661971830986</v>
      </c>
      <c r="S49" t="str">
        <f t="shared" si="12"/>
        <v>500-999</v>
      </c>
    </row>
    <row r="50" spans="1:22" x14ac:dyDescent="0.25">
      <c r="A50" t="s">
        <v>82</v>
      </c>
      <c r="B50" t="s">
        <v>182</v>
      </c>
      <c r="C50" t="s">
        <v>210</v>
      </c>
      <c r="D50" t="s">
        <v>217</v>
      </c>
      <c r="E50" s="3">
        <v>3829</v>
      </c>
      <c r="F50" s="3">
        <v>2779</v>
      </c>
      <c r="G50">
        <v>3.9</v>
      </c>
      <c r="H50">
        <v>256</v>
      </c>
      <c r="I50" t="s">
        <v>251</v>
      </c>
      <c r="J50" t="s">
        <v>288</v>
      </c>
      <c r="K50" t="s">
        <v>287</v>
      </c>
      <c r="L50" t="s">
        <v>289</v>
      </c>
      <c r="M50">
        <f t="shared" si="7"/>
        <v>1</v>
      </c>
      <c r="N50">
        <f t="shared" si="8"/>
        <v>0</v>
      </c>
      <c r="O50">
        <f t="shared" si="9"/>
        <v>0</v>
      </c>
      <c r="P50">
        <f t="shared" si="10"/>
        <v>1</v>
      </c>
      <c r="Q50">
        <f t="shared" si="11"/>
        <v>0</v>
      </c>
      <c r="R50" s="3">
        <f>((E50-F50)/E50)*100</f>
        <v>27.422303473491773</v>
      </c>
      <c r="S50" t="str">
        <f t="shared" si="12"/>
        <v>1500+</v>
      </c>
    </row>
    <row r="51" spans="1:22" x14ac:dyDescent="0.25">
      <c r="A51" t="s">
        <v>107</v>
      </c>
      <c r="B51" t="s">
        <v>207</v>
      </c>
      <c r="C51" t="s">
        <v>214</v>
      </c>
      <c r="D51" t="s">
        <v>218</v>
      </c>
      <c r="E51" s="3">
        <v>3327</v>
      </c>
      <c r="F51" s="3">
        <v>2597</v>
      </c>
      <c r="G51">
        <v>3.9</v>
      </c>
      <c r="H51">
        <v>566</v>
      </c>
      <c r="I51" t="s">
        <v>251</v>
      </c>
      <c r="J51" t="s">
        <v>289</v>
      </c>
      <c r="K51" t="s">
        <v>287</v>
      </c>
      <c r="L51" t="s">
        <v>288</v>
      </c>
      <c r="M51">
        <f t="shared" si="7"/>
        <v>1</v>
      </c>
      <c r="N51">
        <f t="shared" si="8"/>
        <v>0</v>
      </c>
      <c r="O51">
        <f t="shared" si="9"/>
        <v>0</v>
      </c>
      <c r="P51">
        <f t="shared" si="10"/>
        <v>1</v>
      </c>
      <c r="Q51">
        <f t="shared" si="11"/>
        <v>0</v>
      </c>
      <c r="R51" s="3">
        <f>((E51-F51)/E51)*100</f>
        <v>21.941689209498048</v>
      </c>
      <c r="S51" t="str">
        <f t="shared" si="12"/>
        <v>1500+</v>
      </c>
    </row>
    <row r="52" spans="1:22" x14ac:dyDescent="0.25">
      <c r="A52" t="s">
        <v>30</v>
      </c>
      <c r="B52" t="s">
        <v>130</v>
      </c>
      <c r="C52" t="s">
        <v>209</v>
      </c>
      <c r="D52" t="s">
        <v>217</v>
      </c>
      <c r="E52" s="3">
        <v>3206</v>
      </c>
      <c r="F52" s="3">
        <v>3011</v>
      </c>
      <c r="G52">
        <v>3.8</v>
      </c>
      <c r="H52">
        <v>295</v>
      </c>
      <c r="I52" t="s">
        <v>227</v>
      </c>
      <c r="J52" t="s">
        <v>288</v>
      </c>
      <c r="K52" t="s">
        <v>289</v>
      </c>
      <c r="L52" t="s">
        <v>286</v>
      </c>
      <c r="M52">
        <f t="shared" si="7"/>
        <v>0</v>
      </c>
      <c r="N52">
        <f t="shared" si="8"/>
        <v>0</v>
      </c>
      <c r="O52">
        <f t="shared" si="9"/>
        <v>0</v>
      </c>
      <c r="P52">
        <f t="shared" si="10"/>
        <v>1</v>
      </c>
      <c r="Q52">
        <f t="shared" si="11"/>
        <v>0</v>
      </c>
      <c r="R52" s="3">
        <f>((E52-F52)/E52)*100</f>
        <v>6.0823456019962574</v>
      </c>
      <c r="S52" t="str">
        <f t="shared" si="12"/>
        <v>1500+</v>
      </c>
      <c r="U52" s="5" t="s">
        <v>284</v>
      </c>
      <c r="V52" t="s">
        <v>285</v>
      </c>
    </row>
    <row r="53" spans="1:22" x14ac:dyDescent="0.25">
      <c r="A53" t="s">
        <v>44</v>
      </c>
      <c r="B53" t="s">
        <v>144</v>
      </c>
      <c r="C53" t="s">
        <v>210</v>
      </c>
      <c r="D53" t="s">
        <v>219</v>
      </c>
      <c r="E53" s="3">
        <v>2167</v>
      </c>
      <c r="F53" s="3">
        <v>1577</v>
      </c>
      <c r="G53">
        <v>3.8</v>
      </c>
      <c r="H53">
        <v>267</v>
      </c>
      <c r="I53" t="s">
        <v>225</v>
      </c>
      <c r="M53">
        <f t="shared" si="7"/>
        <v>1</v>
      </c>
      <c r="N53">
        <f t="shared" si="8"/>
        <v>0</v>
      </c>
      <c r="O53">
        <f t="shared" si="9"/>
        <v>0</v>
      </c>
      <c r="P53">
        <f t="shared" si="10"/>
        <v>0</v>
      </c>
      <c r="Q53">
        <f t="shared" si="11"/>
        <v>0</v>
      </c>
      <c r="R53" s="3">
        <f>((E53-F53)/E53)*100</f>
        <v>27.226580526072912</v>
      </c>
      <c r="S53" t="str">
        <f t="shared" si="12"/>
        <v>1500+</v>
      </c>
      <c r="U53" s="6" t="s">
        <v>301</v>
      </c>
      <c r="V53" s="7">
        <v>3.9</v>
      </c>
    </row>
    <row r="54" spans="1:22" x14ac:dyDescent="0.25">
      <c r="A54" t="s">
        <v>54</v>
      </c>
      <c r="B54" t="s">
        <v>154</v>
      </c>
      <c r="C54" t="s">
        <v>210</v>
      </c>
      <c r="D54" t="s">
        <v>220</v>
      </c>
      <c r="E54" s="3">
        <v>4072</v>
      </c>
      <c r="F54" s="3">
        <v>4019</v>
      </c>
      <c r="G54">
        <v>3.8</v>
      </c>
      <c r="H54">
        <v>835</v>
      </c>
      <c r="I54" t="s">
        <v>233</v>
      </c>
      <c r="J54" t="s">
        <v>286</v>
      </c>
      <c r="M54">
        <f t="shared" si="7"/>
        <v>0</v>
      </c>
      <c r="N54">
        <f t="shared" si="8"/>
        <v>0</v>
      </c>
      <c r="O54">
        <f t="shared" si="9"/>
        <v>0</v>
      </c>
      <c r="P54">
        <f t="shared" si="10"/>
        <v>1</v>
      </c>
      <c r="Q54">
        <f t="shared" si="11"/>
        <v>0</v>
      </c>
      <c r="R54" s="3">
        <f>((E54-F54)/E54)*100</f>
        <v>1.3015717092337917</v>
      </c>
      <c r="S54" t="str">
        <f t="shared" si="12"/>
        <v>1500+</v>
      </c>
      <c r="U54" s="6" t="s">
        <v>302</v>
      </c>
      <c r="V54" s="7">
        <v>3.6687499999999993</v>
      </c>
    </row>
    <row r="55" spans="1:22" x14ac:dyDescent="0.25">
      <c r="A55" t="s">
        <v>20</v>
      </c>
      <c r="B55" t="s">
        <v>120</v>
      </c>
      <c r="C55" t="s">
        <v>211</v>
      </c>
      <c r="D55" t="s">
        <v>220</v>
      </c>
      <c r="E55" s="3">
        <v>1633</v>
      </c>
      <c r="F55" s="3">
        <v>1062</v>
      </c>
      <c r="G55">
        <v>3.7</v>
      </c>
      <c r="H55">
        <v>783</v>
      </c>
      <c r="I55" t="s">
        <v>225</v>
      </c>
      <c r="M55">
        <f t="shared" si="7"/>
        <v>1</v>
      </c>
      <c r="N55">
        <f t="shared" si="8"/>
        <v>0</v>
      </c>
      <c r="O55">
        <f t="shared" si="9"/>
        <v>0</v>
      </c>
      <c r="P55">
        <f t="shared" si="10"/>
        <v>0</v>
      </c>
      <c r="Q55">
        <f t="shared" si="11"/>
        <v>0</v>
      </c>
      <c r="R55" s="3">
        <f>((E55-F55)/E55)*100</f>
        <v>34.966319657072873</v>
      </c>
      <c r="S55" t="str">
        <f t="shared" si="12"/>
        <v>1000-1499</v>
      </c>
      <c r="U55" s="6" t="s">
        <v>303</v>
      </c>
      <c r="V55" s="7">
        <v>3.7079365079365076</v>
      </c>
    </row>
    <row r="56" spans="1:22" x14ac:dyDescent="0.25">
      <c r="A56" t="s">
        <v>67</v>
      </c>
      <c r="B56" t="s">
        <v>167</v>
      </c>
      <c r="C56" t="s">
        <v>210</v>
      </c>
      <c r="D56" t="s">
        <v>222</v>
      </c>
      <c r="E56" s="3">
        <v>660</v>
      </c>
      <c r="F56" s="3">
        <v>416</v>
      </c>
      <c r="G56">
        <v>3.7</v>
      </c>
      <c r="H56">
        <v>975</v>
      </c>
      <c r="I56" t="s">
        <v>233</v>
      </c>
      <c r="J56" t="s">
        <v>286</v>
      </c>
      <c r="K56" t="s">
        <v>290</v>
      </c>
      <c r="M56">
        <f t="shared" si="7"/>
        <v>0</v>
      </c>
      <c r="N56">
        <f t="shared" si="8"/>
        <v>0</v>
      </c>
      <c r="O56">
        <f t="shared" si="9"/>
        <v>0</v>
      </c>
      <c r="P56">
        <f t="shared" si="10"/>
        <v>1</v>
      </c>
      <c r="Q56">
        <f t="shared" si="11"/>
        <v>0</v>
      </c>
      <c r="R56" s="3">
        <f>((E56-F56)/E56)*100</f>
        <v>36.969696969696969</v>
      </c>
      <c r="S56" t="str">
        <f t="shared" si="12"/>
        <v>&lt;500</v>
      </c>
      <c r="U56" s="6" t="s">
        <v>304</v>
      </c>
      <c r="V56" s="7">
        <v>4.1071428571428568</v>
      </c>
    </row>
    <row r="57" spans="1:22" x14ac:dyDescent="0.25">
      <c r="A57" t="s">
        <v>68</v>
      </c>
      <c r="B57" t="s">
        <v>168</v>
      </c>
      <c r="C57" t="s">
        <v>210</v>
      </c>
      <c r="D57" t="s">
        <v>222</v>
      </c>
      <c r="E57" s="3">
        <v>2735</v>
      </c>
      <c r="F57" s="3">
        <v>1793</v>
      </c>
      <c r="G57">
        <v>3.7</v>
      </c>
      <c r="H57">
        <v>408</v>
      </c>
      <c r="I57" t="s">
        <v>251</v>
      </c>
      <c r="J57" t="s">
        <v>290</v>
      </c>
      <c r="K57" t="s">
        <v>288</v>
      </c>
      <c r="M57">
        <f t="shared" si="7"/>
        <v>0</v>
      </c>
      <c r="N57">
        <f t="shared" si="8"/>
        <v>0</v>
      </c>
      <c r="O57">
        <f t="shared" si="9"/>
        <v>0</v>
      </c>
      <c r="P57">
        <f t="shared" si="10"/>
        <v>1</v>
      </c>
      <c r="Q57">
        <f t="shared" si="11"/>
        <v>0</v>
      </c>
      <c r="R57" s="3">
        <f>((E57-F57)/E57)*100</f>
        <v>34.442413162705662</v>
      </c>
      <c r="S57" t="str">
        <f t="shared" si="12"/>
        <v>1500+</v>
      </c>
      <c r="U57" s="6" t="s">
        <v>305</v>
      </c>
      <c r="V57" s="7">
        <v>3.5</v>
      </c>
    </row>
    <row r="58" spans="1:22" x14ac:dyDescent="0.25">
      <c r="A58" t="s">
        <v>99</v>
      </c>
      <c r="B58" t="s">
        <v>199</v>
      </c>
      <c r="C58" t="s">
        <v>209</v>
      </c>
      <c r="D58" t="s">
        <v>221</v>
      </c>
      <c r="E58" s="3">
        <v>3872</v>
      </c>
      <c r="F58" s="3">
        <v>2402</v>
      </c>
      <c r="G58">
        <v>3.7</v>
      </c>
      <c r="H58">
        <v>688</v>
      </c>
      <c r="I58" t="s">
        <v>223</v>
      </c>
      <c r="J58" t="s">
        <v>287</v>
      </c>
      <c r="K58" t="s">
        <v>290</v>
      </c>
      <c r="L58" t="s">
        <v>286</v>
      </c>
      <c r="M58">
        <f t="shared" si="7"/>
        <v>1</v>
      </c>
      <c r="N58">
        <f t="shared" si="8"/>
        <v>0</v>
      </c>
      <c r="O58">
        <f t="shared" si="9"/>
        <v>0</v>
      </c>
      <c r="P58">
        <f t="shared" si="10"/>
        <v>1</v>
      </c>
      <c r="Q58">
        <f t="shared" si="11"/>
        <v>0</v>
      </c>
      <c r="R58" s="3">
        <f>((E58-F58)/E58)*100</f>
        <v>37.964876033057855</v>
      </c>
      <c r="S58" t="str">
        <f t="shared" si="12"/>
        <v>1500+</v>
      </c>
    </row>
    <row r="59" spans="1:22" x14ac:dyDescent="0.25">
      <c r="A59" t="s">
        <v>33</v>
      </c>
      <c r="B59" t="s">
        <v>133</v>
      </c>
      <c r="C59" t="s">
        <v>210</v>
      </c>
      <c r="D59" t="s">
        <v>221</v>
      </c>
      <c r="E59" s="3">
        <v>4175</v>
      </c>
      <c r="F59" s="3">
        <v>3838</v>
      </c>
      <c r="G59">
        <v>3.6</v>
      </c>
      <c r="H59">
        <v>295</v>
      </c>
      <c r="I59" t="s">
        <v>227</v>
      </c>
      <c r="J59" t="s">
        <v>287</v>
      </c>
      <c r="K59" t="s">
        <v>288</v>
      </c>
      <c r="L59" t="s">
        <v>286</v>
      </c>
      <c r="M59">
        <f t="shared" si="7"/>
        <v>1</v>
      </c>
      <c r="N59">
        <f t="shared" si="8"/>
        <v>0</v>
      </c>
      <c r="O59">
        <f t="shared" si="9"/>
        <v>0</v>
      </c>
      <c r="P59">
        <f t="shared" si="10"/>
        <v>1</v>
      </c>
      <c r="Q59">
        <f t="shared" si="11"/>
        <v>0</v>
      </c>
      <c r="R59" s="3">
        <f>((E59-F59)/E59)*100</f>
        <v>8.0718562874251489</v>
      </c>
      <c r="S59" t="str">
        <f t="shared" si="12"/>
        <v>1500+</v>
      </c>
    </row>
    <row r="60" spans="1:22" x14ac:dyDescent="0.25">
      <c r="A60" t="s">
        <v>58</v>
      </c>
      <c r="B60" t="s">
        <v>158</v>
      </c>
      <c r="C60" t="s">
        <v>212</v>
      </c>
      <c r="D60" t="s">
        <v>221</v>
      </c>
      <c r="E60" s="3">
        <v>3139</v>
      </c>
      <c r="F60" s="3">
        <v>2137</v>
      </c>
      <c r="G60">
        <v>3.6</v>
      </c>
      <c r="H60">
        <v>701</v>
      </c>
      <c r="I60" t="s">
        <v>223</v>
      </c>
      <c r="J60" t="s">
        <v>286</v>
      </c>
      <c r="M60">
        <f t="shared" si="7"/>
        <v>0</v>
      </c>
      <c r="N60">
        <f t="shared" si="8"/>
        <v>0</v>
      </c>
      <c r="O60">
        <f t="shared" si="9"/>
        <v>0</v>
      </c>
      <c r="P60">
        <f t="shared" si="10"/>
        <v>1</v>
      </c>
      <c r="Q60">
        <f t="shared" si="11"/>
        <v>0</v>
      </c>
      <c r="R60" s="3">
        <f>((E60-F60)/E60)*100</f>
        <v>31.920993947116916</v>
      </c>
      <c r="S60" t="str">
        <f t="shared" si="12"/>
        <v>1500+</v>
      </c>
    </row>
    <row r="61" spans="1:22" x14ac:dyDescent="0.25">
      <c r="A61" t="s">
        <v>15</v>
      </c>
      <c r="B61" t="s">
        <v>115</v>
      </c>
      <c r="C61" t="s">
        <v>212</v>
      </c>
      <c r="D61" t="s">
        <v>217</v>
      </c>
      <c r="E61" s="3">
        <v>2407</v>
      </c>
      <c r="F61" s="3">
        <v>2151</v>
      </c>
      <c r="G61">
        <v>3.5</v>
      </c>
      <c r="H61">
        <v>474</v>
      </c>
      <c r="I61" t="s">
        <v>227</v>
      </c>
      <c r="J61" t="s">
        <v>289</v>
      </c>
      <c r="K61" t="s">
        <v>288</v>
      </c>
      <c r="M61">
        <f t="shared" si="7"/>
        <v>0</v>
      </c>
      <c r="N61">
        <f t="shared" si="8"/>
        <v>0</v>
      </c>
      <c r="O61">
        <f t="shared" si="9"/>
        <v>0</v>
      </c>
      <c r="P61">
        <f t="shared" si="10"/>
        <v>0</v>
      </c>
      <c r="Q61">
        <f t="shared" si="11"/>
        <v>0</v>
      </c>
      <c r="R61" s="3">
        <f>((E61-F61)/E61)*100</f>
        <v>10.635646032405484</v>
      </c>
      <c r="S61" t="str">
        <f t="shared" si="12"/>
        <v>1500+</v>
      </c>
    </row>
    <row r="62" spans="1:22" x14ac:dyDescent="0.25">
      <c r="A62" t="s">
        <v>32</v>
      </c>
      <c r="B62" t="s">
        <v>132</v>
      </c>
      <c r="C62" t="s">
        <v>213</v>
      </c>
      <c r="D62" t="s">
        <v>219</v>
      </c>
      <c r="E62" s="3">
        <v>1306</v>
      </c>
      <c r="F62" s="3">
        <v>1194</v>
      </c>
      <c r="G62">
        <v>3.5</v>
      </c>
      <c r="H62">
        <v>357</v>
      </c>
      <c r="I62" t="s">
        <v>227</v>
      </c>
      <c r="M62">
        <f t="shared" si="7"/>
        <v>0</v>
      </c>
      <c r="N62">
        <f t="shared" si="8"/>
        <v>0</v>
      </c>
      <c r="O62">
        <f t="shared" si="9"/>
        <v>0</v>
      </c>
      <c r="P62">
        <f t="shared" si="10"/>
        <v>0</v>
      </c>
      <c r="Q62">
        <f t="shared" si="11"/>
        <v>0</v>
      </c>
      <c r="R62" s="3">
        <f>((E62-F62)/E62)*100</f>
        <v>8.5758039816232774</v>
      </c>
      <c r="S62" t="str">
        <f t="shared" si="12"/>
        <v>1000-1499</v>
      </c>
    </row>
    <row r="63" spans="1:22" x14ac:dyDescent="0.25">
      <c r="A63" t="s">
        <v>61</v>
      </c>
      <c r="B63" t="s">
        <v>161</v>
      </c>
      <c r="C63" t="s">
        <v>210</v>
      </c>
      <c r="D63" t="s">
        <v>219</v>
      </c>
      <c r="E63" s="3">
        <v>3645</v>
      </c>
      <c r="F63" s="3">
        <v>2583</v>
      </c>
      <c r="G63">
        <v>3.5</v>
      </c>
      <c r="H63">
        <v>161</v>
      </c>
      <c r="I63" t="s">
        <v>225</v>
      </c>
      <c r="M63">
        <f t="shared" si="7"/>
        <v>1</v>
      </c>
      <c r="N63">
        <f t="shared" si="8"/>
        <v>0</v>
      </c>
      <c r="O63">
        <f t="shared" si="9"/>
        <v>0</v>
      </c>
      <c r="P63">
        <f t="shared" si="10"/>
        <v>0</v>
      </c>
      <c r="Q63">
        <f t="shared" si="11"/>
        <v>0</v>
      </c>
      <c r="R63" s="3">
        <f>((E63-F63)/E63)*100</f>
        <v>29.1358024691358</v>
      </c>
      <c r="S63" t="str">
        <f t="shared" si="12"/>
        <v>1500+</v>
      </c>
    </row>
    <row r="64" spans="1:22" x14ac:dyDescent="0.25">
      <c r="A64" t="s">
        <v>90</v>
      </c>
      <c r="B64" t="s">
        <v>190</v>
      </c>
      <c r="C64" t="s">
        <v>211</v>
      </c>
      <c r="D64" t="s">
        <v>218</v>
      </c>
      <c r="E64" s="3">
        <v>2348</v>
      </c>
      <c r="F64" s="3">
        <v>1228</v>
      </c>
      <c r="G64">
        <v>3.5</v>
      </c>
      <c r="H64">
        <v>940</v>
      </c>
      <c r="I64" t="s">
        <v>233</v>
      </c>
      <c r="J64" t="s">
        <v>286</v>
      </c>
      <c r="K64" t="s">
        <v>290</v>
      </c>
      <c r="L64" t="s">
        <v>287</v>
      </c>
      <c r="M64">
        <f t="shared" si="7"/>
        <v>1</v>
      </c>
      <c r="N64">
        <f t="shared" si="8"/>
        <v>0</v>
      </c>
      <c r="O64">
        <f t="shared" si="9"/>
        <v>0</v>
      </c>
      <c r="P64">
        <f t="shared" si="10"/>
        <v>1</v>
      </c>
      <c r="Q64">
        <f t="shared" si="11"/>
        <v>0</v>
      </c>
      <c r="R64" s="3">
        <f>((E64-F64)/E64)*100</f>
        <v>47.700170357751276</v>
      </c>
      <c r="S64" t="str">
        <f t="shared" si="12"/>
        <v>1000-1499</v>
      </c>
    </row>
    <row r="65" spans="1:19" x14ac:dyDescent="0.25">
      <c r="A65" t="s">
        <v>24</v>
      </c>
      <c r="B65" t="s">
        <v>124</v>
      </c>
      <c r="C65" t="s">
        <v>212</v>
      </c>
      <c r="D65" t="s">
        <v>219</v>
      </c>
      <c r="E65" s="3">
        <v>2129</v>
      </c>
      <c r="F65" s="3">
        <v>1923</v>
      </c>
      <c r="G65">
        <v>3.4</v>
      </c>
      <c r="H65">
        <v>175</v>
      </c>
      <c r="I65" t="s">
        <v>223</v>
      </c>
      <c r="M65">
        <f t="shared" si="7"/>
        <v>0</v>
      </c>
      <c r="N65">
        <f t="shared" si="8"/>
        <v>0</v>
      </c>
      <c r="O65">
        <f t="shared" si="9"/>
        <v>0</v>
      </c>
      <c r="P65">
        <f t="shared" si="10"/>
        <v>0</v>
      </c>
      <c r="Q65">
        <f t="shared" si="11"/>
        <v>0</v>
      </c>
      <c r="R65" s="3">
        <f>((E65-F65)/E65)*100</f>
        <v>9.6759041803663699</v>
      </c>
      <c r="S65" t="str">
        <f t="shared" si="12"/>
        <v>1500+</v>
      </c>
    </row>
    <row r="66" spans="1:19" x14ac:dyDescent="0.25">
      <c r="A66" t="s">
        <v>101</v>
      </c>
      <c r="B66" t="s">
        <v>201</v>
      </c>
      <c r="C66" t="s">
        <v>214</v>
      </c>
      <c r="D66" t="s">
        <v>222</v>
      </c>
      <c r="E66" s="3">
        <v>2036</v>
      </c>
      <c r="F66" s="3">
        <v>1456</v>
      </c>
      <c r="G66">
        <v>3.4</v>
      </c>
      <c r="H66">
        <v>784</v>
      </c>
      <c r="I66" t="s">
        <v>251</v>
      </c>
      <c r="J66" t="s">
        <v>287</v>
      </c>
      <c r="K66" t="s">
        <v>288</v>
      </c>
      <c r="L66" t="s">
        <v>290</v>
      </c>
      <c r="M66">
        <f t="shared" si="7"/>
        <v>1</v>
      </c>
      <c r="N66">
        <f t="shared" si="8"/>
        <v>0</v>
      </c>
      <c r="O66">
        <f t="shared" si="9"/>
        <v>0</v>
      </c>
      <c r="P66">
        <f t="shared" si="10"/>
        <v>1</v>
      </c>
      <c r="Q66">
        <f t="shared" si="11"/>
        <v>0</v>
      </c>
      <c r="R66" s="3">
        <f>((E66-F66)/E66)*100</f>
        <v>28.487229862475445</v>
      </c>
      <c r="S66" t="str">
        <f t="shared" si="12"/>
        <v>1000-1499</v>
      </c>
    </row>
    <row r="67" spans="1:19" x14ac:dyDescent="0.25">
      <c r="A67" t="s">
        <v>55</v>
      </c>
      <c r="B67" t="s">
        <v>155</v>
      </c>
      <c r="C67" t="s">
        <v>209</v>
      </c>
      <c r="D67" t="s">
        <v>219</v>
      </c>
      <c r="E67" s="3">
        <v>3204</v>
      </c>
      <c r="F67" s="3">
        <v>1878</v>
      </c>
      <c r="G67">
        <v>3.3</v>
      </c>
      <c r="H67">
        <v>878</v>
      </c>
      <c r="I67" t="s">
        <v>233</v>
      </c>
      <c r="M67">
        <f t="shared" si="7"/>
        <v>0</v>
      </c>
      <c r="N67">
        <f t="shared" si="8"/>
        <v>0</v>
      </c>
      <c r="O67">
        <f t="shared" si="9"/>
        <v>0</v>
      </c>
      <c r="P67">
        <f t="shared" si="10"/>
        <v>0</v>
      </c>
      <c r="Q67">
        <f t="shared" si="11"/>
        <v>0</v>
      </c>
      <c r="R67" s="3">
        <f>((E67-F67)/E67)*100</f>
        <v>41.385767790262172</v>
      </c>
      <c r="S67" t="str">
        <f t="shared" si="12"/>
        <v>1500+</v>
      </c>
    </row>
    <row r="68" spans="1:19" x14ac:dyDescent="0.25">
      <c r="A68" t="s">
        <v>80</v>
      </c>
      <c r="B68" t="s">
        <v>180</v>
      </c>
      <c r="C68" t="s">
        <v>214</v>
      </c>
      <c r="D68" t="s">
        <v>221</v>
      </c>
      <c r="E68" s="3">
        <v>4306</v>
      </c>
      <c r="F68" s="3">
        <v>2704</v>
      </c>
      <c r="G68">
        <v>3.3</v>
      </c>
      <c r="H68">
        <v>516</v>
      </c>
      <c r="I68" t="s">
        <v>227</v>
      </c>
      <c r="J68" t="s">
        <v>286</v>
      </c>
      <c r="K68" t="s">
        <v>287</v>
      </c>
      <c r="M68">
        <f t="shared" si="7"/>
        <v>1</v>
      </c>
      <c r="N68">
        <f t="shared" si="8"/>
        <v>0</v>
      </c>
      <c r="O68">
        <f t="shared" si="9"/>
        <v>0</v>
      </c>
      <c r="P68">
        <f t="shared" si="10"/>
        <v>1</v>
      </c>
      <c r="Q68">
        <f t="shared" si="11"/>
        <v>0</v>
      </c>
      <c r="R68" s="3">
        <f>((E68-F68)/E68)*100</f>
        <v>37.203901532745007</v>
      </c>
      <c r="S68" t="str">
        <f t="shared" si="12"/>
        <v>1500+</v>
      </c>
    </row>
    <row r="69" spans="1:19" x14ac:dyDescent="0.25">
      <c r="A69" t="s">
        <v>108</v>
      </c>
      <c r="B69" t="s">
        <v>208</v>
      </c>
      <c r="C69" t="s">
        <v>211</v>
      </c>
      <c r="D69" t="s">
        <v>221</v>
      </c>
      <c r="E69" s="3">
        <v>3865</v>
      </c>
      <c r="F69" s="3">
        <v>3726</v>
      </c>
      <c r="G69">
        <v>3.3</v>
      </c>
      <c r="H69">
        <v>494</v>
      </c>
      <c r="I69" t="s">
        <v>251</v>
      </c>
      <c r="J69" t="s">
        <v>290</v>
      </c>
      <c r="K69" t="s">
        <v>288</v>
      </c>
      <c r="L69" t="s">
        <v>287</v>
      </c>
      <c r="M69">
        <f t="shared" si="7"/>
        <v>1</v>
      </c>
      <c r="N69">
        <f t="shared" si="8"/>
        <v>0</v>
      </c>
      <c r="O69">
        <f t="shared" si="9"/>
        <v>0</v>
      </c>
      <c r="P69">
        <f t="shared" si="10"/>
        <v>1</v>
      </c>
      <c r="Q69">
        <f t="shared" si="11"/>
        <v>0</v>
      </c>
      <c r="R69" s="3">
        <f>((E69-F69)/E69)*100</f>
        <v>3.5963777490297542</v>
      </c>
      <c r="S69" t="str">
        <f t="shared" si="12"/>
        <v>1500+</v>
      </c>
    </row>
    <row r="70" spans="1:19" x14ac:dyDescent="0.25">
      <c r="A70" t="s">
        <v>13</v>
      </c>
      <c r="B70" t="s">
        <v>113</v>
      </c>
      <c r="C70" t="s">
        <v>211</v>
      </c>
      <c r="D70" t="s">
        <v>217</v>
      </c>
      <c r="E70" s="3">
        <v>3317</v>
      </c>
      <c r="F70" s="3">
        <v>2031</v>
      </c>
      <c r="G70">
        <v>3.2</v>
      </c>
      <c r="H70">
        <v>54</v>
      </c>
      <c r="I70" t="s">
        <v>223</v>
      </c>
      <c r="J70" t="s">
        <v>287</v>
      </c>
      <c r="K70" t="s">
        <v>290</v>
      </c>
      <c r="L70" t="s">
        <v>286</v>
      </c>
      <c r="M70">
        <f t="shared" si="7"/>
        <v>1</v>
      </c>
      <c r="N70">
        <f t="shared" si="8"/>
        <v>0</v>
      </c>
      <c r="O70">
        <f t="shared" si="9"/>
        <v>0</v>
      </c>
      <c r="P70">
        <f t="shared" si="10"/>
        <v>1</v>
      </c>
      <c r="Q70">
        <f t="shared" si="11"/>
        <v>0</v>
      </c>
      <c r="R70" s="3">
        <f>((E70-F70)/E70)*100</f>
        <v>38.769972867048537</v>
      </c>
      <c r="S70" t="str">
        <f t="shared" si="12"/>
        <v>1500+</v>
      </c>
    </row>
    <row r="71" spans="1:19" x14ac:dyDescent="0.25">
      <c r="A71" t="s">
        <v>41</v>
      </c>
      <c r="B71" t="s">
        <v>141</v>
      </c>
      <c r="C71" t="s">
        <v>209</v>
      </c>
      <c r="D71" t="s">
        <v>217</v>
      </c>
      <c r="E71" s="3">
        <v>2246</v>
      </c>
      <c r="F71" s="3">
        <v>1160</v>
      </c>
      <c r="G71">
        <v>3.2</v>
      </c>
      <c r="H71">
        <v>965</v>
      </c>
      <c r="I71" t="s">
        <v>225</v>
      </c>
      <c r="J71" t="s">
        <v>290</v>
      </c>
      <c r="K71" t="s">
        <v>286</v>
      </c>
      <c r="M71">
        <f t="shared" si="7"/>
        <v>1</v>
      </c>
      <c r="N71">
        <f t="shared" si="8"/>
        <v>0</v>
      </c>
      <c r="O71">
        <f t="shared" si="9"/>
        <v>0</v>
      </c>
      <c r="P71">
        <f t="shared" si="10"/>
        <v>1</v>
      </c>
      <c r="Q71">
        <f t="shared" si="11"/>
        <v>0</v>
      </c>
      <c r="R71" s="3">
        <f>((E71-F71)/E71)*100</f>
        <v>48.352626892252893</v>
      </c>
      <c r="S71" t="str">
        <f t="shared" si="12"/>
        <v>1000-1499</v>
      </c>
    </row>
    <row r="72" spans="1:19" x14ac:dyDescent="0.25">
      <c r="A72" t="s">
        <v>51</v>
      </c>
      <c r="B72" t="s">
        <v>151</v>
      </c>
      <c r="C72" t="s">
        <v>213</v>
      </c>
      <c r="D72" t="s">
        <v>219</v>
      </c>
      <c r="E72" s="3">
        <v>3764</v>
      </c>
      <c r="F72" s="3">
        <v>3042</v>
      </c>
      <c r="G72">
        <v>3.2</v>
      </c>
      <c r="H72">
        <v>81</v>
      </c>
      <c r="I72" t="s">
        <v>233</v>
      </c>
      <c r="J72" t="s">
        <v>286</v>
      </c>
      <c r="K72" t="s">
        <v>288</v>
      </c>
      <c r="M72">
        <f t="shared" si="7"/>
        <v>0</v>
      </c>
      <c r="N72">
        <f t="shared" si="8"/>
        <v>0</v>
      </c>
      <c r="O72">
        <f t="shared" si="9"/>
        <v>0</v>
      </c>
      <c r="P72">
        <f t="shared" si="10"/>
        <v>1</v>
      </c>
      <c r="Q72">
        <f t="shared" si="11"/>
        <v>0</v>
      </c>
      <c r="R72" s="3">
        <f>((E72-F72)/E72)*100</f>
        <v>19.181721572794899</v>
      </c>
      <c r="S72" t="str">
        <f t="shared" si="12"/>
        <v>1500+</v>
      </c>
    </row>
    <row r="73" spans="1:19" x14ac:dyDescent="0.25">
      <c r="A73" t="s">
        <v>9</v>
      </c>
      <c r="B73" t="s">
        <v>109</v>
      </c>
      <c r="C73" t="s">
        <v>209</v>
      </c>
      <c r="D73" t="s">
        <v>217</v>
      </c>
      <c r="E73" s="3">
        <v>2753</v>
      </c>
      <c r="F73" s="3">
        <v>2202</v>
      </c>
      <c r="G73">
        <v>3.1</v>
      </c>
      <c r="H73">
        <v>764</v>
      </c>
      <c r="I73" t="s">
        <v>223</v>
      </c>
      <c r="M73">
        <f t="shared" si="7"/>
        <v>0</v>
      </c>
      <c r="N73">
        <f t="shared" si="8"/>
        <v>0</v>
      </c>
      <c r="O73">
        <f t="shared" si="9"/>
        <v>0</v>
      </c>
      <c r="P73">
        <f t="shared" si="10"/>
        <v>0</v>
      </c>
      <c r="Q73">
        <f t="shared" si="11"/>
        <v>0</v>
      </c>
      <c r="R73" s="3">
        <f>((E73-F73)/E73)*100</f>
        <v>20.01452960406829</v>
      </c>
      <c r="S73" t="str">
        <f t="shared" si="12"/>
        <v>1500+</v>
      </c>
    </row>
    <row r="74" spans="1:19" x14ac:dyDescent="0.25">
      <c r="A74" t="s">
        <v>11</v>
      </c>
      <c r="B74" t="s">
        <v>111</v>
      </c>
      <c r="C74" t="s">
        <v>210</v>
      </c>
      <c r="D74" t="s">
        <v>219</v>
      </c>
      <c r="E74" s="3">
        <v>4964</v>
      </c>
      <c r="F74" s="3">
        <v>3196</v>
      </c>
      <c r="G74">
        <v>3.1</v>
      </c>
      <c r="H74">
        <v>613</v>
      </c>
      <c r="I74" t="s">
        <v>225</v>
      </c>
      <c r="J74" t="s">
        <v>290</v>
      </c>
      <c r="K74" t="s">
        <v>289</v>
      </c>
      <c r="M74">
        <f t="shared" si="7"/>
        <v>1</v>
      </c>
      <c r="N74">
        <f t="shared" si="8"/>
        <v>0</v>
      </c>
      <c r="O74">
        <f t="shared" si="9"/>
        <v>0</v>
      </c>
      <c r="P74">
        <f t="shared" si="10"/>
        <v>0</v>
      </c>
      <c r="Q74">
        <f t="shared" si="11"/>
        <v>0</v>
      </c>
      <c r="R74" s="3">
        <f>((E74-F74)/E74)*100</f>
        <v>35.61643835616438</v>
      </c>
      <c r="S74" t="str">
        <f t="shared" si="12"/>
        <v>1500+</v>
      </c>
    </row>
    <row r="75" spans="1:19" x14ac:dyDescent="0.25">
      <c r="A75" t="s">
        <v>64</v>
      </c>
      <c r="B75" t="s">
        <v>164</v>
      </c>
      <c r="C75" t="s">
        <v>215</v>
      </c>
      <c r="D75" t="s">
        <v>219</v>
      </c>
      <c r="E75" s="3">
        <v>4388</v>
      </c>
      <c r="F75" s="3">
        <v>2495</v>
      </c>
      <c r="G75">
        <v>3.1</v>
      </c>
      <c r="H75">
        <v>263</v>
      </c>
      <c r="I75" t="s">
        <v>223</v>
      </c>
      <c r="J75" t="s">
        <v>286</v>
      </c>
      <c r="K75" t="s">
        <v>289</v>
      </c>
      <c r="M75">
        <f t="shared" si="7"/>
        <v>0</v>
      </c>
      <c r="N75">
        <f t="shared" si="8"/>
        <v>0</v>
      </c>
      <c r="O75">
        <f t="shared" si="9"/>
        <v>0</v>
      </c>
      <c r="P75">
        <f t="shared" si="10"/>
        <v>1</v>
      </c>
      <c r="Q75">
        <f t="shared" si="11"/>
        <v>0</v>
      </c>
      <c r="R75" s="3">
        <f>((E75-F75)/E75)*100</f>
        <v>43.140382862351871</v>
      </c>
      <c r="S75" t="str">
        <f t="shared" si="12"/>
        <v>1500+</v>
      </c>
    </row>
    <row r="76" spans="1:19" x14ac:dyDescent="0.25">
      <c r="A76" t="s">
        <v>65</v>
      </c>
      <c r="B76" t="s">
        <v>165</v>
      </c>
      <c r="C76" t="s">
        <v>210</v>
      </c>
      <c r="D76" t="s">
        <v>220</v>
      </c>
      <c r="E76" s="3">
        <v>1134</v>
      </c>
      <c r="F76" s="3">
        <v>792</v>
      </c>
      <c r="G76">
        <v>3.1</v>
      </c>
      <c r="H76">
        <v>353</v>
      </c>
      <c r="I76" t="s">
        <v>223</v>
      </c>
      <c r="J76" t="s">
        <v>287</v>
      </c>
      <c r="K76" t="s">
        <v>286</v>
      </c>
      <c r="M76">
        <f t="shared" si="7"/>
        <v>1</v>
      </c>
      <c r="N76">
        <f t="shared" si="8"/>
        <v>0</v>
      </c>
      <c r="O76">
        <f t="shared" si="9"/>
        <v>0</v>
      </c>
      <c r="P76">
        <f t="shared" si="10"/>
        <v>1</v>
      </c>
      <c r="Q76">
        <f t="shared" si="11"/>
        <v>0</v>
      </c>
      <c r="R76" s="3">
        <f>((E76-F76)/E76)*100</f>
        <v>30.158730158730158</v>
      </c>
      <c r="S76" t="str">
        <f t="shared" si="12"/>
        <v>500-999</v>
      </c>
    </row>
    <row r="77" spans="1:19" x14ac:dyDescent="0.25">
      <c r="A77" t="s">
        <v>84</v>
      </c>
      <c r="B77" t="s">
        <v>184</v>
      </c>
      <c r="C77" t="s">
        <v>216</v>
      </c>
      <c r="D77" t="s">
        <v>219</v>
      </c>
      <c r="E77" s="3">
        <v>2719</v>
      </c>
      <c r="F77" s="3">
        <v>2042</v>
      </c>
      <c r="G77">
        <v>3.1</v>
      </c>
      <c r="H77">
        <v>133</v>
      </c>
      <c r="I77" t="s">
        <v>233</v>
      </c>
      <c r="J77" t="s">
        <v>287</v>
      </c>
      <c r="M77">
        <f t="shared" si="7"/>
        <v>1</v>
      </c>
      <c r="N77">
        <f t="shared" si="8"/>
        <v>0</v>
      </c>
      <c r="O77">
        <f t="shared" si="9"/>
        <v>0</v>
      </c>
      <c r="P77">
        <f t="shared" si="10"/>
        <v>0</v>
      </c>
      <c r="Q77">
        <f t="shared" si="11"/>
        <v>0</v>
      </c>
      <c r="R77" s="3">
        <f>((E77-F77)/E77)*100</f>
        <v>24.898859874954027</v>
      </c>
      <c r="S77" t="str">
        <f t="shared" si="12"/>
        <v>1500+</v>
      </c>
    </row>
    <row r="78" spans="1:19" x14ac:dyDescent="0.25">
      <c r="A78" t="s">
        <v>14</v>
      </c>
      <c r="B78" t="s">
        <v>114</v>
      </c>
      <c r="C78" t="s">
        <v>212</v>
      </c>
      <c r="D78" t="s">
        <v>219</v>
      </c>
      <c r="E78" s="3">
        <v>3462</v>
      </c>
      <c r="F78" s="3">
        <v>2230</v>
      </c>
      <c r="G78">
        <v>3</v>
      </c>
      <c r="H78">
        <v>81</v>
      </c>
      <c r="I78" t="s">
        <v>227</v>
      </c>
      <c r="M78">
        <f t="shared" si="7"/>
        <v>0</v>
      </c>
      <c r="N78">
        <f t="shared" si="8"/>
        <v>0</v>
      </c>
      <c r="O78">
        <f t="shared" si="9"/>
        <v>0</v>
      </c>
      <c r="P78">
        <f t="shared" si="10"/>
        <v>0</v>
      </c>
      <c r="Q78">
        <f t="shared" si="11"/>
        <v>0</v>
      </c>
      <c r="R78" s="3">
        <f>((E78-F78)/E78)*100</f>
        <v>35.586366262276144</v>
      </c>
      <c r="S78" t="str">
        <f t="shared" si="12"/>
        <v>1500+</v>
      </c>
    </row>
    <row r="79" spans="1:19" x14ac:dyDescent="0.25">
      <c r="A79" t="s">
        <v>18</v>
      </c>
      <c r="B79" t="s">
        <v>118</v>
      </c>
      <c r="C79" t="s">
        <v>213</v>
      </c>
      <c r="D79" t="s">
        <v>220</v>
      </c>
      <c r="E79" s="3">
        <v>2693</v>
      </c>
      <c r="F79" s="3">
        <v>2508</v>
      </c>
      <c r="G79">
        <v>3</v>
      </c>
      <c r="H79">
        <v>975</v>
      </c>
      <c r="I79" t="s">
        <v>227</v>
      </c>
      <c r="J79" t="s">
        <v>286</v>
      </c>
      <c r="K79" t="s">
        <v>288</v>
      </c>
      <c r="M79">
        <f t="shared" si="7"/>
        <v>0</v>
      </c>
      <c r="N79">
        <f t="shared" si="8"/>
        <v>0</v>
      </c>
      <c r="O79">
        <f t="shared" si="9"/>
        <v>0</v>
      </c>
      <c r="P79">
        <f t="shared" si="10"/>
        <v>1</v>
      </c>
      <c r="Q79">
        <f t="shared" si="11"/>
        <v>0</v>
      </c>
      <c r="R79" s="3">
        <f>((E79-F79)/E79)*100</f>
        <v>6.8696620868919425</v>
      </c>
      <c r="S79" t="str">
        <f t="shared" si="12"/>
        <v>1500+</v>
      </c>
    </row>
    <row r="80" spans="1:19" x14ac:dyDescent="0.25">
      <c r="A80" t="s">
        <v>50</v>
      </c>
      <c r="B80" t="s">
        <v>150</v>
      </c>
      <c r="C80" t="s">
        <v>211</v>
      </c>
      <c r="D80" t="s">
        <v>217</v>
      </c>
      <c r="E80" s="3">
        <v>4355</v>
      </c>
      <c r="F80" s="3">
        <v>3394</v>
      </c>
      <c r="G80">
        <v>3</v>
      </c>
      <c r="H80">
        <v>950</v>
      </c>
      <c r="I80" t="s">
        <v>233</v>
      </c>
      <c r="J80" t="s">
        <v>288</v>
      </c>
      <c r="K80" t="s">
        <v>287</v>
      </c>
      <c r="L80" t="s">
        <v>286</v>
      </c>
      <c r="M80">
        <f t="shared" si="7"/>
        <v>1</v>
      </c>
      <c r="N80">
        <f t="shared" si="8"/>
        <v>0</v>
      </c>
      <c r="O80">
        <f t="shared" si="9"/>
        <v>0</v>
      </c>
      <c r="P80">
        <f t="shared" si="10"/>
        <v>1</v>
      </c>
      <c r="Q80">
        <f t="shared" si="11"/>
        <v>0</v>
      </c>
      <c r="R80" s="3">
        <f>((E80-F80)/E80)*100</f>
        <v>22.066590126291619</v>
      </c>
      <c r="S80" t="str">
        <f t="shared" si="12"/>
        <v>1500+</v>
      </c>
    </row>
    <row r="81" spans="1:19" x14ac:dyDescent="0.25">
      <c r="A81" t="s">
        <v>66</v>
      </c>
      <c r="B81" t="s">
        <v>166</v>
      </c>
      <c r="C81" t="s">
        <v>215</v>
      </c>
      <c r="D81" t="s">
        <v>221</v>
      </c>
      <c r="E81" s="3">
        <v>1751</v>
      </c>
      <c r="F81" s="3">
        <v>978</v>
      </c>
      <c r="G81">
        <v>3</v>
      </c>
      <c r="H81">
        <v>434</v>
      </c>
      <c r="I81" t="s">
        <v>233</v>
      </c>
      <c r="J81" t="s">
        <v>286</v>
      </c>
      <c r="K81" t="s">
        <v>290</v>
      </c>
      <c r="L81" t="s">
        <v>287</v>
      </c>
      <c r="M81">
        <f t="shared" si="7"/>
        <v>1</v>
      </c>
      <c r="N81">
        <f t="shared" si="8"/>
        <v>0</v>
      </c>
      <c r="O81">
        <f t="shared" si="9"/>
        <v>0</v>
      </c>
      <c r="P81">
        <f t="shared" si="10"/>
        <v>1</v>
      </c>
      <c r="Q81">
        <f t="shared" si="11"/>
        <v>0</v>
      </c>
      <c r="R81" s="3">
        <f>((E81-F81)/E81)*100</f>
        <v>44.146202170188467</v>
      </c>
      <c r="S81" t="str">
        <f t="shared" si="12"/>
        <v>500-999</v>
      </c>
    </row>
    <row r="82" spans="1:19" x14ac:dyDescent="0.25">
      <c r="A82" t="s">
        <v>88</v>
      </c>
      <c r="B82" t="s">
        <v>188</v>
      </c>
      <c r="C82" t="s">
        <v>212</v>
      </c>
      <c r="D82" t="s">
        <v>222</v>
      </c>
      <c r="E82" s="3">
        <v>4108</v>
      </c>
      <c r="F82" s="3">
        <v>3361</v>
      </c>
      <c r="G82">
        <v>3</v>
      </c>
      <c r="H82">
        <v>62</v>
      </c>
      <c r="I82" t="s">
        <v>251</v>
      </c>
      <c r="J82" t="s">
        <v>287</v>
      </c>
      <c r="K82" t="s">
        <v>288</v>
      </c>
      <c r="M82">
        <f t="shared" si="7"/>
        <v>1</v>
      </c>
      <c r="N82">
        <f t="shared" si="8"/>
        <v>0</v>
      </c>
      <c r="O82">
        <f t="shared" si="9"/>
        <v>0</v>
      </c>
      <c r="P82">
        <f t="shared" si="10"/>
        <v>1</v>
      </c>
      <c r="Q82">
        <f t="shared" si="11"/>
        <v>0</v>
      </c>
      <c r="R82" s="3">
        <f>((E82-F82)/E82)*100</f>
        <v>18.184031158714703</v>
      </c>
      <c r="S82" t="str">
        <f t="shared" si="12"/>
        <v>1500+</v>
      </c>
    </row>
    <row r="83" spans="1:19" x14ac:dyDescent="0.25">
      <c r="A83" t="s">
        <v>105</v>
      </c>
      <c r="B83" t="s">
        <v>205</v>
      </c>
      <c r="C83" t="s">
        <v>210</v>
      </c>
      <c r="D83" t="s">
        <v>222</v>
      </c>
      <c r="E83" s="3">
        <v>1684</v>
      </c>
      <c r="F83" s="3">
        <v>1242</v>
      </c>
      <c r="G83">
        <v>3</v>
      </c>
      <c r="H83">
        <v>623</v>
      </c>
      <c r="I83" t="s">
        <v>225</v>
      </c>
      <c r="J83" t="s">
        <v>289</v>
      </c>
      <c r="M83">
        <f t="shared" si="7"/>
        <v>1</v>
      </c>
      <c r="N83">
        <f t="shared" si="8"/>
        <v>0</v>
      </c>
      <c r="O83">
        <f t="shared" si="9"/>
        <v>0</v>
      </c>
      <c r="P83">
        <f t="shared" si="10"/>
        <v>0</v>
      </c>
      <c r="Q83">
        <f t="shared" si="11"/>
        <v>0</v>
      </c>
      <c r="R83" s="3">
        <f>((E83-F83)/E83)*100</f>
        <v>26.247030878859857</v>
      </c>
      <c r="S83" t="str">
        <f t="shared" si="12"/>
        <v>1000-1499</v>
      </c>
    </row>
    <row r="84" spans="1:19" ht="15" hidden="1" customHeight="1" x14ac:dyDescent="0.25">
      <c r="A84" t="s">
        <v>35</v>
      </c>
      <c r="B84" t="s">
        <v>135</v>
      </c>
      <c r="C84" t="s">
        <v>214</v>
      </c>
      <c r="D84" t="s">
        <v>222</v>
      </c>
      <c r="E84" s="3">
        <v>3785</v>
      </c>
      <c r="F84" s="3">
        <v>3615</v>
      </c>
      <c r="G84">
        <v>2.9</v>
      </c>
      <c r="H84">
        <v>12</v>
      </c>
      <c r="I84" t="s">
        <v>233</v>
      </c>
      <c r="J84" t="s">
        <v>286</v>
      </c>
      <c r="K84" t="s">
        <v>290</v>
      </c>
      <c r="L84" t="s">
        <v>288</v>
      </c>
      <c r="R84" s="3">
        <f>((E84-F84)/E84)*100</f>
        <v>4.4914134742404226</v>
      </c>
    </row>
    <row r="85" spans="1:19" x14ac:dyDescent="0.25">
      <c r="A85" t="s">
        <v>74</v>
      </c>
      <c r="B85" t="s">
        <v>174</v>
      </c>
      <c r="C85" t="s">
        <v>210</v>
      </c>
      <c r="D85" t="s">
        <v>222</v>
      </c>
      <c r="E85" s="3">
        <v>2599</v>
      </c>
      <c r="F85" s="3">
        <v>1794</v>
      </c>
      <c r="G85">
        <v>2.9</v>
      </c>
      <c r="H85">
        <v>631</v>
      </c>
      <c r="I85" t="s">
        <v>227</v>
      </c>
      <c r="M85">
        <f t="shared" ref="M85:M101" si="13">COUNTIFS(I85:L85, "*S*",I85:L85, "&lt;&gt;*XS*")</f>
        <v>0</v>
      </c>
      <c r="N85">
        <f t="shared" ref="N85:N101" si="14">COUNTIF(A85:A184,"*M*")</f>
        <v>0</v>
      </c>
      <c r="O85">
        <f t="shared" ref="O85:O101" si="15">COUNTIFS(A85:A184, "*L*", A85:A184, "&lt;&gt;*XL*", A85:A184, "&lt;&gt;*XXL*")</f>
        <v>0</v>
      </c>
      <c r="P85">
        <f t="shared" ref="P85:P101" si="16">COUNTIFS(I85:L85, "*XL*", I85:L85, "&lt;&gt;*XXL*")</f>
        <v>0</v>
      </c>
      <c r="Q85">
        <f t="shared" ref="Q85:Q101" si="17">COUNTIF(A85:A184, "*XXL*")</f>
        <v>0</v>
      </c>
      <c r="R85" s="3">
        <f>((E85-F85)/E85)*100</f>
        <v>30.973451327433626</v>
      </c>
      <c r="S85" t="str">
        <f t="shared" ref="S85:S101" si="18">IF(F85 &lt; 500, "&lt;500", IF(F85&lt; 1000, "500-999", IF(F85 &lt; 1500, "1000-1499", "1500+")))</f>
        <v>1500+</v>
      </c>
    </row>
    <row r="86" spans="1:19" x14ac:dyDescent="0.25">
      <c r="A86" t="s">
        <v>89</v>
      </c>
      <c r="B86" t="s">
        <v>189</v>
      </c>
      <c r="C86" t="s">
        <v>211</v>
      </c>
      <c r="D86" t="s">
        <v>222</v>
      </c>
      <c r="E86" s="3">
        <v>939</v>
      </c>
      <c r="F86" s="3">
        <v>812</v>
      </c>
      <c r="G86">
        <v>2.9</v>
      </c>
      <c r="H86">
        <v>586</v>
      </c>
      <c r="I86" t="s">
        <v>225</v>
      </c>
      <c r="J86" t="s">
        <v>290</v>
      </c>
      <c r="K86" t="s">
        <v>288</v>
      </c>
      <c r="M86">
        <f t="shared" si="13"/>
        <v>1</v>
      </c>
      <c r="N86">
        <f t="shared" si="14"/>
        <v>0</v>
      </c>
      <c r="O86">
        <f t="shared" si="15"/>
        <v>0</v>
      </c>
      <c r="P86">
        <f t="shared" si="16"/>
        <v>0</v>
      </c>
      <c r="Q86">
        <f t="shared" si="17"/>
        <v>0</v>
      </c>
      <c r="R86" s="3">
        <f>((E86-F86)/E86)*100</f>
        <v>13.525026624068156</v>
      </c>
      <c r="S86" t="str">
        <f t="shared" si="18"/>
        <v>500-999</v>
      </c>
    </row>
    <row r="87" spans="1:19" x14ac:dyDescent="0.25">
      <c r="A87" t="s">
        <v>28</v>
      </c>
      <c r="B87" t="s">
        <v>128</v>
      </c>
      <c r="C87" t="s">
        <v>216</v>
      </c>
      <c r="D87" t="s">
        <v>222</v>
      </c>
      <c r="E87" s="3">
        <v>4739</v>
      </c>
      <c r="F87" s="3">
        <v>2840</v>
      </c>
      <c r="G87">
        <v>2.8</v>
      </c>
      <c r="H87">
        <v>240</v>
      </c>
      <c r="I87" t="s">
        <v>233</v>
      </c>
      <c r="M87">
        <f t="shared" si="13"/>
        <v>0</v>
      </c>
      <c r="N87">
        <f t="shared" si="14"/>
        <v>0</v>
      </c>
      <c r="O87">
        <f t="shared" si="15"/>
        <v>0</v>
      </c>
      <c r="P87">
        <f t="shared" si="16"/>
        <v>0</v>
      </c>
      <c r="Q87">
        <f t="shared" si="17"/>
        <v>0</v>
      </c>
      <c r="R87" s="3">
        <f>((E87-F87)/E87)*100</f>
        <v>40.071745093901669</v>
      </c>
      <c r="S87" t="str">
        <f t="shared" si="18"/>
        <v>1500+</v>
      </c>
    </row>
    <row r="88" spans="1:19" x14ac:dyDescent="0.25">
      <c r="A88" t="s">
        <v>43</v>
      </c>
      <c r="B88" t="s">
        <v>143</v>
      </c>
      <c r="C88" t="s">
        <v>212</v>
      </c>
      <c r="D88" t="s">
        <v>219</v>
      </c>
      <c r="E88" s="3">
        <v>1600</v>
      </c>
      <c r="F88" s="3">
        <v>1280</v>
      </c>
      <c r="G88">
        <v>2.8</v>
      </c>
      <c r="H88">
        <v>119</v>
      </c>
      <c r="I88" t="s">
        <v>233</v>
      </c>
      <c r="J88" t="s">
        <v>288</v>
      </c>
      <c r="M88">
        <f t="shared" si="13"/>
        <v>0</v>
      </c>
      <c r="N88">
        <f t="shared" si="14"/>
        <v>0</v>
      </c>
      <c r="O88">
        <f t="shared" si="15"/>
        <v>0</v>
      </c>
      <c r="P88">
        <f t="shared" si="16"/>
        <v>0</v>
      </c>
      <c r="Q88">
        <f t="shared" si="17"/>
        <v>0</v>
      </c>
      <c r="R88" s="3">
        <f>((E88-F88)/E88)*100</f>
        <v>20</v>
      </c>
      <c r="S88" t="str">
        <f t="shared" si="18"/>
        <v>1000-1499</v>
      </c>
    </row>
    <row r="89" spans="1:19" x14ac:dyDescent="0.25">
      <c r="A89" t="s">
        <v>47</v>
      </c>
      <c r="B89" t="s">
        <v>147</v>
      </c>
      <c r="C89" t="s">
        <v>216</v>
      </c>
      <c r="D89" t="s">
        <v>218</v>
      </c>
      <c r="E89" s="3">
        <v>1713</v>
      </c>
      <c r="F89" s="3">
        <v>1223</v>
      </c>
      <c r="G89">
        <v>2.8</v>
      </c>
      <c r="H89">
        <v>325</v>
      </c>
      <c r="I89" t="s">
        <v>225</v>
      </c>
      <c r="J89" t="s">
        <v>289</v>
      </c>
      <c r="K89" t="s">
        <v>288</v>
      </c>
      <c r="M89">
        <f t="shared" si="13"/>
        <v>1</v>
      </c>
      <c r="N89">
        <f t="shared" si="14"/>
        <v>0</v>
      </c>
      <c r="O89">
        <f t="shared" si="15"/>
        <v>0</v>
      </c>
      <c r="P89">
        <f t="shared" si="16"/>
        <v>0</v>
      </c>
      <c r="Q89">
        <f t="shared" si="17"/>
        <v>0</v>
      </c>
      <c r="R89" s="3">
        <f>((E89-F89)/E89)*100</f>
        <v>28.604786923525978</v>
      </c>
      <c r="S89" t="str">
        <f t="shared" si="18"/>
        <v>1000-1499</v>
      </c>
    </row>
    <row r="90" spans="1:19" x14ac:dyDescent="0.25">
      <c r="A90" t="s">
        <v>73</v>
      </c>
      <c r="B90" t="s">
        <v>173</v>
      </c>
      <c r="C90" t="s">
        <v>210</v>
      </c>
      <c r="D90" t="s">
        <v>217</v>
      </c>
      <c r="E90" s="3">
        <v>1748</v>
      </c>
      <c r="F90" s="3">
        <v>1454</v>
      </c>
      <c r="G90">
        <v>2.8</v>
      </c>
      <c r="H90">
        <v>695</v>
      </c>
      <c r="I90" t="s">
        <v>223</v>
      </c>
      <c r="M90">
        <f t="shared" si="13"/>
        <v>0</v>
      </c>
      <c r="N90">
        <f t="shared" si="14"/>
        <v>0</v>
      </c>
      <c r="O90">
        <f t="shared" si="15"/>
        <v>0</v>
      </c>
      <c r="P90">
        <f t="shared" si="16"/>
        <v>0</v>
      </c>
      <c r="Q90">
        <f t="shared" si="17"/>
        <v>0</v>
      </c>
      <c r="R90" s="3">
        <f>((E90-F90)/E90)*100</f>
        <v>16.819221967963387</v>
      </c>
      <c r="S90" t="str">
        <f t="shared" si="18"/>
        <v>1000-1499</v>
      </c>
    </row>
    <row r="91" spans="1:19" x14ac:dyDescent="0.25">
      <c r="A91" t="s">
        <v>95</v>
      </c>
      <c r="B91" t="s">
        <v>195</v>
      </c>
      <c r="C91" t="s">
        <v>212</v>
      </c>
      <c r="D91" t="s">
        <v>218</v>
      </c>
      <c r="E91" s="3">
        <v>2864</v>
      </c>
      <c r="F91" s="3">
        <v>1915</v>
      </c>
      <c r="G91">
        <v>2.8</v>
      </c>
      <c r="H91">
        <v>715</v>
      </c>
      <c r="I91" t="s">
        <v>251</v>
      </c>
      <c r="J91" t="s">
        <v>289</v>
      </c>
      <c r="K91" t="s">
        <v>288</v>
      </c>
      <c r="M91">
        <f t="shared" si="13"/>
        <v>0</v>
      </c>
      <c r="N91">
        <f t="shared" si="14"/>
        <v>0</v>
      </c>
      <c r="O91">
        <f t="shared" si="15"/>
        <v>0</v>
      </c>
      <c r="P91">
        <f t="shared" si="16"/>
        <v>1</v>
      </c>
      <c r="Q91">
        <f t="shared" si="17"/>
        <v>0</v>
      </c>
      <c r="R91" s="3">
        <f>((E91-F91)/E91)*100</f>
        <v>33.135474860335194</v>
      </c>
      <c r="S91" t="str">
        <f t="shared" si="18"/>
        <v>1500+</v>
      </c>
    </row>
    <row r="92" spans="1:19" x14ac:dyDescent="0.25">
      <c r="A92" t="s">
        <v>10</v>
      </c>
      <c r="B92" t="s">
        <v>110</v>
      </c>
      <c r="C92" t="s">
        <v>209</v>
      </c>
      <c r="D92" t="s">
        <v>218</v>
      </c>
      <c r="E92" s="3">
        <v>760</v>
      </c>
      <c r="F92" s="3">
        <v>695</v>
      </c>
      <c r="G92">
        <v>2.7</v>
      </c>
      <c r="H92">
        <v>248</v>
      </c>
      <c r="I92" t="s">
        <v>223</v>
      </c>
      <c r="M92">
        <f t="shared" si="13"/>
        <v>0</v>
      </c>
      <c r="N92">
        <f t="shared" si="14"/>
        <v>0</v>
      </c>
      <c r="O92">
        <f t="shared" si="15"/>
        <v>0</v>
      </c>
      <c r="P92">
        <f t="shared" si="16"/>
        <v>0</v>
      </c>
      <c r="Q92">
        <f t="shared" si="17"/>
        <v>0</v>
      </c>
      <c r="R92" s="3">
        <f>((E92-F92)/E92)*100</f>
        <v>8.5526315789473681</v>
      </c>
      <c r="S92" t="str">
        <f t="shared" si="18"/>
        <v>500-999</v>
      </c>
    </row>
    <row r="93" spans="1:19" x14ac:dyDescent="0.25">
      <c r="A93" t="s">
        <v>21</v>
      </c>
      <c r="B93" t="s">
        <v>121</v>
      </c>
      <c r="C93" t="s">
        <v>215</v>
      </c>
      <c r="D93" t="s">
        <v>219</v>
      </c>
      <c r="E93" s="3">
        <v>3958</v>
      </c>
      <c r="F93" s="3">
        <v>2687</v>
      </c>
      <c r="G93">
        <v>2.7</v>
      </c>
      <c r="H93">
        <v>400</v>
      </c>
      <c r="I93" t="s">
        <v>223</v>
      </c>
      <c r="J93" t="s">
        <v>289</v>
      </c>
      <c r="K93" t="s">
        <v>286</v>
      </c>
      <c r="L93" t="s">
        <v>287</v>
      </c>
      <c r="M93">
        <f t="shared" si="13"/>
        <v>1</v>
      </c>
      <c r="N93">
        <f t="shared" si="14"/>
        <v>0</v>
      </c>
      <c r="O93">
        <f t="shared" si="15"/>
        <v>0</v>
      </c>
      <c r="P93">
        <f t="shared" si="16"/>
        <v>1</v>
      </c>
      <c r="Q93">
        <f t="shared" si="17"/>
        <v>0</v>
      </c>
      <c r="R93" s="3">
        <f>((E93-F93)/E93)*100</f>
        <v>32.112177867609901</v>
      </c>
      <c r="S93" t="str">
        <f t="shared" si="18"/>
        <v>1500+</v>
      </c>
    </row>
    <row r="94" spans="1:19" x14ac:dyDescent="0.25">
      <c r="A94" t="s">
        <v>31</v>
      </c>
      <c r="B94" t="s">
        <v>131</v>
      </c>
      <c r="C94" t="s">
        <v>210</v>
      </c>
      <c r="D94" t="s">
        <v>222</v>
      </c>
      <c r="E94" s="3">
        <v>3834</v>
      </c>
      <c r="F94" s="3">
        <v>3395</v>
      </c>
      <c r="G94">
        <v>2.7</v>
      </c>
      <c r="H94">
        <v>684</v>
      </c>
      <c r="I94" t="s">
        <v>233</v>
      </c>
      <c r="J94" t="s">
        <v>286</v>
      </c>
      <c r="K94" t="s">
        <v>290</v>
      </c>
      <c r="L94" t="s">
        <v>288</v>
      </c>
      <c r="M94">
        <f t="shared" si="13"/>
        <v>0</v>
      </c>
      <c r="N94">
        <f t="shared" si="14"/>
        <v>0</v>
      </c>
      <c r="O94">
        <f t="shared" si="15"/>
        <v>0</v>
      </c>
      <c r="P94">
        <f t="shared" si="16"/>
        <v>1</v>
      </c>
      <c r="Q94">
        <f t="shared" si="17"/>
        <v>0</v>
      </c>
      <c r="R94" s="3">
        <f>((E94-F94)/E94)*100</f>
        <v>11.45018257694314</v>
      </c>
      <c r="S94" t="str">
        <f t="shared" si="18"/>
        <v>1500+</v>
      </c>
    </row>
    <row r="95" spans="1:19" x14ac:dyDescent="0.25">
      <c r="A95" t="s">
        <v>39</v>
      </c>
      <c r="B95" t="s">
        <v>139</v>
      </c>
      <c r="C95" t="s">
        <v>210</v>
      </c>
      <c r="D95" t="s">
        <v>218</v>
      </c>
      <c r="E95" s="3">
        <v>825</v>
      </c>
      <c r="F95" s="3">
        <v>458</v>
      </c>
      <c r="G95">
        <v>2.7</v>
      </c>
      <c r="H95">
        <v>683</v>
      </c>
      <c r="I95" t="s">
        <v>233</v>
      </c>
      <c r="J95" t="s">
        <v>290</v>
      </c>
      <c r="K95" t="s">
        <v>288</v>
      </c>
      <c r="M95">
        <f t="shared" si="13"/>
        <v>0</v>
      </c>
      <c r="N95">
        <f t="shared" si="14"/>
        <v>0</v>
      </c>
      <c r="O95">
        <f t="shared" si="15"/>
        <v>0</v>
      </c>
      <c r="P95">
        <f t="shared" si="16"/>
        <v>0</v>
      </c>
      <c r="Q95">
        <f t="shared" si="17"/>
        <v>0</v>
      </c>
      <c r="R95" s="3">
        <f>((E95-F95)/E95)*100</f>
        <v>44.484848484848484</v>
      </c>
      <c r="S95" t="str">
        <f t="shared" si="18"/>
        <v>&lt;500</v>
      </c>
    </row>
    <row r="96" spans="1:19" x14ac:dyDescent="0.25">
      <c r="A96" t="s">
        <v>60</v>
      </c>
      <c r="B96" t="s">
        <v>160</v>
      </c>
      <c r="C96" t="s">
        <v>212</v>
      </c>
      <c r="D96" t="s">
        <v>221</v>
      </c>
      <c r="E96" s="3">
        <v>2131</v>
      </c>
      <c r="F96" s="3">
        <v>1931</v>
      </c>
      <c r="G96">
        <v>2.6</v>
      </c>
      <c r="H96">
        <v>260</v>
      </c>
      <c r="I96" t="s">
        <v>223</v>
      </c>
      <c r="J96" t="s">
        <v>287</v>
      </c>
      <c r="K96" t="s">
        <v>290</v>
      </c>
      <c r="L96" t="s">
        <v>289</v>
      </c>
      <c r="M96">
        <f t="shared" si="13"/>
        <v>1</v>
      </c>
      <c r="N96">
        <f t="shared" si="14"/>
        <v>0</v>
      </c>
      <c r="O96">
        <f t="shared" si="15"/>
        <v>0</v>
      </c>
      <c r="P96">
        <f t="shared" si="16"/>
        <v>0</v>
      </c>
      <c r="Q96">
        <f t="shared" si="17"/>
        <v>0</v>
      </c>
      <c r="R96" s="3">
        <f>((E96-F96)/E96)*100</f>
        <v>9.3852651337400275</v>
      </c>
      <c r="S96" t="str">
        <f t="shared" si="18"/>
        <v>1500+</v>
      </c>
    </row>
    <row r="97" spans="1:19" x14ac:dyDescent="0.25">
      <c r="A97" t="s">
        <v>62</v>
      </c>
      <c r="B97" t="s">
        <v>162</v>
      </c>
      <c r="C97" t="s">
        <v>211</v>
      </c>
      <c r="D97" t="s">
        <v>221</v>
      </c>
      <c r="E97" s="3">
        <v>4743</v>
      </c>
      <c r="F97" s="3">
        <v>2791</v>
      </c>
      <c r="G97">
        <v>2.6</v>
      </c>
      <c r="H97">
        <v>265</v>
      </c>
      <c r="I97" t="s">
        <v>251</v>
      </c>
      <c r="M97">
        <f t="shared" si="13"/>
        <v>0</v>
      </c>
      <c r="N97">
        <f t="shared" si="14"/>
        <v>0</v>
      </c>
      <c r="O97">
        <f t="shared" si="15"/>
        <v>0</v>
      </c>
      <c r="P97">
        <f t="shared" si="16"/>
        <v>1</v>
      </c>
      <c r="Q97">
        <f t="shared" si="17"/>
        <v>0</v>
      </c>
      <c r="R97" s="3">
        <f>((E97-F97)/E97)*100</f>
        <v>41.155386885937176</v>
      </c>
      <c r="S97" t="str">
        <f t="shared" si="18"/>
        <v>1500+</v>
      </c>
    </row>
    <row r="98" spans="1:19" x14ac:dyDescent="0.25">
      <c r="A98" t="s">
        <v>70</v>
      </c>
      <c r="B98" t="s">
        <v>170</v>
      </c>
      <c r="C98" t="s">
        <v>211</v>
      </c>
      <c r="D98" t="s">
        <v>221</v>
      </c>
      <c r="E98" s="3">
        <v>4282</v>
      </c>
      <c r="F98" s="3">
        <v>3488</v>
      </c>
      <c r="G98">
        <v>2.6</v>
      </c>
      <c r="H98">
        <v>398</v>
      </c>
      <c r="I98" t="s">
        <v>227</v>
      </c>
      <c r="J98" t="s">
        <v>286</v>
      </c>
      <c r="K98" t="s">
        <v>288</v>
      </c>
      <c r="M98">
        <f t="shared" si="13"/>
        <v>0</v>
      </c>
      <c r="N98">
        <f t="shared" si="14"/>
        <v>0</v>
      </c>
      <c r="O98">
        <f t="shared" si="15"/>
        <v>0</v>
      </c>
      <c r="P98">
        <f t="shared" si="16"/>
        <v>1</v>
      </c>
      <c r="Q98">
        <f t="shared" si="17"/>
        <v>0</v>
      </c>
      <c r="R98" s="3">
        <f>((E98-F98)/E98)*100</f>
        <v>18.542737038766933</v>
      </c>
      <c r="S98" t="str">
        <f t="shared" si="18"/>
        <v>1500+</v>
      </c>
    </row>
    <row r="99" spans="1:19" x14ac:dyDescent="0.25">
      <c r="A99" t="s">
        <v>97</v>
      </c>
      <c r="B99" t="s">
        <v>197</v>
      </c>
      <c r="C99" t="s">
        <v>213</v>
      </c>
      <c r="D99" t="s">
        <v>219</v>
      </c>
      <c r="E99" s="3">
        <v>2707</v>
      </c>
      <c r="F99" s="3">
        <v>1477</v>
      </c>
      <c r="G99">
        <v>2.6</v>
      </c>
      <c r="H99">
        <v>784</v>
      </c>
      <c r="I99" t="s">
        <v>251</v>
      </c>
      <c r="J99" t="s">
        <v>288</v>
      </c>
      <c r="M99">
        <f t="shared" si="13"/>
        <v>0</v>
      </c>
      <c r="N99">
        <f t="shared" si="14"/>
        <v>0</v>
      </c>
      <c r="O99">
        <f t="shared" si="15"/>
        <v>0</v>
      </c>
      <c r="P99">
        <f t="shared" si="16"/>
        <v>1</v>
      </c>
      <c r="Q99">
        <f t="shared" si="17"/>
        <v>0</v>
      </c>
      <c r="R99" s="3">
        <f>((E99-F99)/E99)*100</f>
        <v>45.437753971185813</v>
      </c>
      <c r="S99" t="str">
        <f t="shared" si="18"/>
        <v>1000-1499</v>
      </c>
    </row>
    <row r="100" spans="1:19" x14ac:dyDescent="0.25">
      <c r="A100" t="s">
        <v>102</v>
      </c>
      <c r="B100" t="s">
        <v>202</v>
      </c>
      <c r="C100" t="s">
        <v>215</v>
      </c>
      <c r="D100" t="s">
        <v>220</v>
      </c>
      <c r="E100" s="3">
        <v>4470</v>
      </c>
      <c r="F100" s="3">
        <v>3923</v>
      </c>
      <c r="G100">
        <v>2.6</v>
      </c>
      <c r="H100">
        <v>655</v>
      </c>
      <c r="I100" t="s">
        <v>227</v>
      </c>
      <c r="J100" t="s">
        <v>289</v>
      </c>
      <c r="M100">
        <f t="shared" si="13"/>
        <v>0</v>
      </c>
      <c r="N100">
        <f t="shared" si="14"/>
        <v>0</v>
      </c>
      <c r="O100">
        <f t="shared" si="15"/>
        <v>0</v>
      </c>
      <c r="P100">
        <f t="shared" si="16"/>
        <v>0</v>
      </c>
      <c r="Q100">
        <f t="shared" si="17"/>
        <v>0</v>
      </c>
      <c r="R100" s="3">
        <f>((E100-F100)/E100)*100</f>
        <v>12.237136465324385</v>
      </c>
      <c r="S100" t="str">
        <f t="shared" si="18"/>
        <v>1500+</v>
      </c>
    </row>
    <row r="101" spans="1:19" x14ac:dyDescent="0.25">
      <c r="A101" t="s">
        <v>29</v>
      </c>
      <c r="B101" t="s">
        <v>129</v>
      </c>
      <c r="C101" t="s">
        <v>213</v>
      </c>
      <c r="D101" t="s">
        <v>218</v>
      </c>
      <c r="E101" s="3">
        <v>2385</v>
      </c>
      <c r="F101" s="3">
        <v>1884</v>
      </c>
      <c r="G101">
        <v>2.5</v>
      </c>
      <c r="H101">
        <v>734</v>
      </c>
      <c r="I101" t="s">
        <v>227</v>
      </c>
      <c r="M101">
        <f t="shared" si="13"/>
        <v>0</v>
      </c>
      <c r="N101">
        <f t="shared" si="14"/>
        <v>0</v>
      </c>
      <c r="O101">
        <f t="shared" si="15"/>
        <v>0</v>
      </c>
      <c r="P101">
        <f t="shared" si="16"/>
        <v>0</v>
      </c>
      <c r="Q101">
        <f t="shared" si="17"/>
        <v>0</v>
      </c>
      <c r="R101" s="3">
        <f>((E101-F101)/E101)*100</f>
        <v>21.0062893081761</v>
      </c>
      <c r="S101" t="str">
        <f t="shared" si="18"/>
        <v>1500+</v>
      </c>
    </row>
  </sheetData>
  <autoFilter ref="A1:R101">
    <filterColumn colId="7">
      <customFilters>
        <customFilter operator="greaterThanOrEqual" val="50"/>
      </customFilters>
    </filterColumn>
  </autoFilter>
  <sortState ref="A2:J101">
    <sortCondition descending="1" ref="G2:G101"/>
  </sortState>
  <conditionalFormatting sqref="R1:R1048576 S1:T1">
    <cfRule type="cellIs" dxfId="2" priority="2" operator="greaterThan">
      <formula>25.08</formula>
    </cfRule>
    <cfRule type="cellIs" dxfId="1" priority="3" operator="greaterThan">
      <formula>25.08</formula>
    </cfRule>
  </conditionalFormatting>
  <conditionalFormatting sqref="E1:E1048576">
    <cfRule type="cellIs" dxfId="0" priority="1" operator="greaterThan">
      <formula>3000</formula>
    </cfRule>
  </conditionalFormatting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topLeftCell="C1" workbookViewId="0">
      <selection activeCell="D3" sqref="D3:E9"/>
    </sheetView>
  </sheetViews>
  <sheetFormatPr defaultRowHeight="15" x14ac:dyDescent="0.25"/>
  <cols>
    <col min="1" max="1" width="13.140625" bestFit="1" customWidth="1"/>
    <col min="2" max="2" width="16.7109375" bestFit="1" customWidth="1"/>
    <col min="4" max="4" width="13.140625" bestFit="1" customWidth="1"/>
    <col min="5" max="5" width="20.5703125" customWidth="1"/>
  </cols>
  <sheetData>
    <row r="3" spans="1:5" x14ac:dyDescent="0.25">
      <c r="A3" s="5" t="s">
        <v>284</v>
      </c>
      <c r="B3" t="s">
        <v>285</v>
      </c>
    </row>
    <row r="4" spans="1:5" x14ac:dyDescent="0.25">
      <c r="A4" s="6" t="s">
        <v>222</v>
      </c>
      <c r="B4" s="7">
        <v>3.5599999999999996</v>
      </c>
      <c r="D4" s="6"/>
      <c r="E4" s="7"/>
    </row>
    <row r="5" spans="1:5" x14ac:dyDescent="0.25">
      <c r="A5" s="6" t="s">
        <v>221</v>
      </c>
      <c r="B5" s="7">
        <v>3.7611111111111106</v>
      </c>
      <c r="D5" s="6"/>
      <c r="E5" s="7"/>
    </row>
    <row r="6" spans="1:5" x14ac:dyDescent="0.25">
      <c r="A6" s="6" t="s">
        <v>219</v>
      </c>
      <c r="B6" s="7">
        <v>3.7518518518518511</v>
      </c>
      <c r="D6" s="6"/>
      <c r="E6" s="7"/>
    </row>
    <row r="7" spans="1:5" x14ac:dyDescent="0.25">
      <c r="A7" s="6" t="s">
        <v>218</v>
      </c>
      <c r="B7" s="7">
        <v>3.5818181818181825</v>
      </c>
      <c r="D7" s="6"/>
      <c r="E7" s="7"/>
    </row>
    <row r="8" spans="1:5" x14ac:dyDescent="0.25">
      <c r="A8" s="6" t="s">
        <v>220</v>
      </c>
      <c r="B8" s="7">
        <v>4.1133333333333333</v>
      </c>
      <c r="D8" s="6"/>
      <c r="E8" s="7"/>
    </row>
    <row r="9" spans="1:5" x14ac:dyDescent="0.25">
      <c r="A9" s="6" t="s">
        <v>217</v>
      </c>
      <c r="B9" s="7">
        <v>3.7714285714285714</v>
      </c>
      <c r="D9" s="6"/>
      <c r="E9" s="7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2025-05-01T07:06:15Z</dcterms:created>
  <dcterms:modified xsi:type="dcterms:W3CDTF">2025-05-01T13:46:01Z</dcterms:modified>
</cp:coreProperties>
</file>